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0a2006ec6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Me" sheetId="1" r:id="Re37040d5183a4a17"/>
    <x:sheet xmlns:r="http://schemas.openxmlformats.org/officeDocument/2006/relationships" name="01_Research_Baseline" sheetId="2" r:id="R12f9f18e4abd4655"/>
    <x:sheet xmlns:r="http://schemas.openxmlformats.org/officeDocument/2006/relationships" name="02_Financial_Baseline" sheetId="3" r:id="R59e4d58640084ee1"/>
    <x:sheet xmlns:r="http://schemas.openxmlformats.org/officeDocument/2006/relationships" name="03_Strategic_Objectives" sheetId="4" r:id="Rd81726142b31476d"/>
    <x:sheet xmlns:r="http://schemas.openxmlformats.org/officeDocument/2006/relationships" name="04_Scenario_Assumptions" sheetId="5" r:id="Rae32dab4b2d14a83"/>
    <x:sheet xmlns:r="http://schemas.openxmlformats.org/officeDocument/2006/relationships" name="05_Monthly_Budget" sheetId="6" r:id="R4ea833abb2a34a11"/>
    <x:sheet xmlns:r="http://schemas.openxmlformats.org/officeDocument/2006/relationships" name="06_Cash_Flow_Forecast" sheetId="7" r:id="R5e178054af0c4dd0"/>
    <x:sheet xmlns:r="http://schemas.openxmlformats.org/officeDocument/2006/relationships" name="07_Risk_Register" sheetId="8" r:id="R02aafb6de8d44a42"/>
    <x:sheet xmlns:r="http://schemas.openxmlformats.org/officeDocument/2006/relationships" name="08_Stakeholders" sheetId="9" r:id="R2dd7bffe1900429e"/>
    <x:sheet xmlns:r="http://schemas.openxmlformats.org/officeDocument/2006/relationships" name="09_Resources" sheetId="10" r:id="R95508c0b49a348a1"/>
    <x:sheet xmlns:r="http://schemas.openxmlformats.org/officeDocument/2006/relationships" name="10_Workflow_Gates" sheetId="11" r:id="R69211719b3ce43de"/>
    <x:sheet xmlns:r="http://schemas.openxmlformats.org/officeDocument/2006/relationships" name="11_Corrective_Actions" sheetId="12" r:id="R9b9db194f5154143"/>
    <x:sheet xmlns:r="http://schemas.openxmlformats.org/officeDocument/2006/relationships" name="12_Post_Intervention" sheetId="13" r:id="R1785586aa0b3474e"/>
    <x:sheet xmlns:r="http://schemas.openxmlformats.org/officeDocument/2006/relationships" name="13_App_Import_Map" sheetId="14" r:id="R2b64df9c782340db"/>
    <x:sheet xmlns:r="http://schemas.openxmlformats.org/officeDocument/2006/relationships" name="14_Pilot_Dashboard" sheetId="15" r:id="Rc5a6ea96e0ee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#,##0;[Red](#,##0);-"/>
    <x:numFmt numFmtId="202" formatCode="0.0%;[Red](0.0%);-"/>
    <x:numFmt numFmtId="203" formatCode="0.00x"/>
    <x:numFmt numFmtId="204" formatCode="yyyy-mm-dd"/>
    <x:numFmt numFmtId="205" formatCode="mmm-yyyy"/>
    <x:numFmt numFmtId="206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71A33"/>
      </x:patternFill>
    </x:fill>
    <x:fill>
      <x:patternFill patternType="solid">
        <x:fgColor rgb="FFF3F6FA"/>
      </x:patternFill>
    </x:fill>
    <x:fill>
      <x:patternFill patternType="solid">
        <x:fgColor rgb="FF2563EB"/>
      </x:patternFill>
    </x:fill>
    <x:fill>
      <x:patternFill patternType="solid">
        <x:fgColor rgb="FF0B2447"/>
      </x:patternFill>
    </x:fill>
    <x:fill>
      <x:patternFill patternType="solid">
        <x:fgColor rgb="FFFFFCE6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4" fillId="6" borderId="0" xfId="0" applyNumberFormat="1" applyFont="1" applyFill="1" applyBorder="1"/>
    <x:xf numFmtId="200" fontId="0" fillId="6" borderId="1" xfId="0" applyNumberFormat="1" applyFont="1" applyFill="1" applyBorder="1"/>
    <x:xf numFmtId="200" fontId="4" fillId="6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dbe2150624ff9" /><Relationship Type="http://schemas.openxmlformats.org/officeDocument/2006/relationships/theme" Target="/xl/theme/theme1.xml" Id="Rc461058e247e4213" /><Relationship Type="http://schemas.openxmlformats.org/officeDocument/2006/relationships/sharedStrings" Target="/xl/sharedStrings.xml" Id="Ra02bf4cf60214061" /><Relationship Type="http://schemas.openxmlformats.org/officeDocument/2006/relationships/worksheet" Target="/xl/worksheets/sheet1.xml" Id="Re37040d5183a4a17" /><Relationship Type="http://schemas.openxmlformats.org/officeDocument/2006/relationships/worksheet" Target="/xl/worksheets/sheet2.xml" Id="R12f9f18e4abd4655" /><Relationship Type="http://schemas.openxmlformats.org/officeDocument/2006/relationships/worksheet" Target="/xl/worksheets/sheet3.xml" Id="R59e4d58640084ee1" /><Relationship Type="http://schemas.openxmlformats.org/officeDocument/2006/relationships/worksheet" Target="/xl/worksheets/sheet4.xml" Id="Rd81726142b31476d" /><Relationship Type="http://schemas.openxmlformats.org/officeDocument/2006/relationships/worksheet" Target="/xl/worksheets/sheet5.xml" Id="Rae32dab4b2d14a83" /><Relationship Type="http://schemas.openxmlformats.org/officeDocument/2006/relationships/worksheet" Target="/xl/worksheets/sheet6.xml" Id="R4ea833abb2a34a11" /><Relationship Type="http://schemas.openxmlformats.org/officeDocument/2006/relationships/worksheet" Target="/xl/worksheets/sheet7.xml" Id="R5e178054af0c4dd0" /><Relationship Type="http://schemas.openxmlformats.org/officeDocument/2006/relationships/worksheet" Target="/xl/worksheets/sheet8.xml" Id="R02aafb6de8d44a42" /><Relationship Type="http://schemas.openxmlformats.org/officeDocument/2006/relationships/worksheet" Target="/xl/worksheets/sheet9.xml" Id="R2dd7bffe1900429e" /><Relationship Type="http://schemas.openxmlformats.org/officeDocument/2006/relationships/worksheet" Target="/xl/worksheets/sheet10.xml" Id="R95508c0b49a348a1" /><Relationship Type="http://schemas.openxmlformats.org/officeDocument/2006/relationships/worksheet" Target="/xl/worksheets/sheet11.xml" Id="R69211719b3ce43de" /><Relationship Type="http://schemas.openxmlformats.org/officeDocument/2006/relationships/worksheet" Target="/xl/worksheets/sheet12.xml" Id="R9b9db194f5154143" /><Relationship Type="http://schemas.openxmlformats.org/officeDocument/2006/relationships/worksheet" Target="/xl/worksheets/sheet13.xml" Id="R1785586aa0b3474e" /><Relationship Type="http://schemas.openxmlformats.org/officeDocument/2006/relationships/worksheet" Target="/xl/worksheets/sheet14.xml" Id="R2b64df9c782340db" /><Relationship Type="http://schemas.openxmlformats.org/officeDocument/2006/relationships/worksheet" Target="/xl/worksheets/sheet15.xml" Id="Rc5a6ea96e0ee47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b86078a1e64322" /><Relationship Type="http://schemas.openxmlformats.org/officeDocument/2006/relationships/chart" Target="/xl/drawings/charts/chart2.xml" Id="R142725419abd4f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Research Baseline Scores vs Scale Midpoint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Baseline Score</c:v>
          </c:tx>
          <c:cat>
            <c:strRef>
              <c:f>'14_Pilot_Dashboard'!$A$13:$A$18</c:f>
              <c:strCache>
                <c:ptCount val="0"/>
              </c:strCache>
            </c:strRef>
          </c:cat>
          <c:val>
            <c:numRef>
              <c:f>'14_Pilot_Dashboard'!$B$13:$B$18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Scale Midpoint</c:v>
          </c:tx>
          <c:cat>
            <c:strRef>
              <c:f>'14_Pilot_Dashboard'!$A$13:$A$18</c:f>
              <c:strCache>
                <c:ptCount val="0"/>
              </c:strCache>
            </c:strRef>
          </c:cat>
          <c:val>
            <c:numRef>
              <c:f>'14_Pilot_Dashboard'!$C$13:$C$18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Revenue and Closing Cash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 (XAF)</c:v>
          </c:tx>
          <c:cat>
            <c:strRef>
              <c:f>'14_Pilot_Dashboard'!$A$21:$A$23</c:f>
              <c:strCache>
                <c:ptCount val="0"/>
              </c:strCache>
            </c:strRef>
          </c:cat>
          <c:val>
            <c:numRef>
              <c:f>'14_Pilot_Dashboard'!$B$21:$B$23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Closing Cash (XAF)</c:v>
          </c:tx>
          <c:cat>
            <c:strRef>
              <c:f>'14_Pilot_Dashboard'!$A$21:$A$23</c:f>
              <c:strCache>
                <c:ptCount val="0"/>
              </c:strCache>
            </c:strRef>
          </c:cat>
          <c:val>
            <c:numRef>
              <c:f>'14_Pilot_Dashboard'!$C$21:$C$23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b86078a1e64322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2725419abd4f7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lineTable" displayName="BaselineTable" ref="A4:G10" headerRowCount="1">
  <x:tableColumns count="7">
    <x:tableColumn id="1" name="Code"/>
    <x:tableColumn id="2" name="Full Construct Name"/>
    <x:tableColumn id="3" name="Baseline Score"/>
    <x:tableColumn id="4" name="Scale Minimum"/>
    <x:tableColumn id="5" name="Scale Maximum"/>
    <x:tableColumn id="6" name="Interpretation"/>
    <x:tableColumn id="7" name="Data Classification"/>
  </x:tableColumns>
  <x:tableStyleInfo name="TableStyleMedium2" showRowStripes="1"/>
</x:table>
</file>

<file path=xl/tables/table2.xml><?xml version="1.0" encoding="utf-8"?>
<x:table xmlns:x="http://schemas.openxmlformats.org/spreadsheetml/2006/main" id="2" name="FinancialBaselineTable" displayName="FinancialBaselineTable" ref="A4:H22" headerRowCount="1">
  <x:tableColumns count="8">
    <x:tableColumn id="1" name="Statement"/>
    <x:tableColumn id="2" name="Line Item"/>
    <x:tableColumn id="3" name="2024 Amount (XAF)"/>
    <x:tableColumn id="4" name="2023 Amount (XAF)"/>
    <x:tableColumn id="5" name="Change (XAF)"/>
    <x:tableColumn id="6" name="Change (%)"/>
    <x:tableColumn id="7" name="Data Classification"/>
    <x:tableColumn id="8" name="Source/Validation Note"/>
  </x:tableColumns>
  <x:tableStyleInfo name="TableStyleMedium2" showRowStripes="1"/>
</x:table>
</file>

<file path=xl/tables/table3.xml><?xml version="1.0" encoding="utf-8"?>
<x:table xmlns:x="http://schemas.openxmlformats.org/spreadsheetml/2006/main" id="3" name="ObjectivesTable" displayName="ObjectivesTable" ref="A4:L9" headerRowCount="1">
  <x:tableColumns count="12">
    <x:tableColumn id="1" name="Objective ID"/>
    <x:tableColumn id="2" name="Strategic Objective"/>
    <x:tableColumn id="3" name="KPI"/>
    <x:tableColumn id="4" name="Baseline"/>
    <x:tableColumn id="5" name="2026 Target"/>
    <x:tableColumn id="6" name="Owner"/>
    <x:tableColumn id="7" name="Start Date"/>
    <x:tableColumn id="8" name="Due Date"/>
    <x:tableColumn id="9" name="Estimated Funding (XAF)"/>
    <x:tableColumn id="10" name="Priority"/>
    <x:tableColumn id="11" name="Status"/>
    <x:tableColumn id="12" name="Data Classification"/>
  </x:tableColumns>
  <x:tableStyleInfo name="TableStyleMedium2" showRowStripes="1"/>
</x:table>
</file>

<file path=xl/tables/table4.xml><?xml version="1.0" encoding="utf-8"?>
<x:table xmlns:x="http://schemas.openxmlformats.org/spreadsheetml/2006/main" id="4" name="ScenarioAssumptionsTable" displayName="ScenarioAssumptionsTable" ref="A4:J13" headerRowCount="1">
  <x:tableColumns count="10">
    <x:tableColumn id="1" name="Assumption"/>
    <x:tableColumn id="2" name="Unit"/>
    <x:tableColumn id="3" name="Optimistic Scenario"/>
    <x:tableColumn id="4" name="Main Scenario"/>
    <x:tableColumn id="5" name="Pessimistic Scenario"/>
    <x:tableColumn id="6" name="Rationale"/>
    <x:tableColumn id="7" name="Owner"/>
    <x:tableColumn id="8" name="Approval Status"/>
    <x:tableColumn id="9" name="Data Classification"/>
    <x:tableColumn id="10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MonthlyBudgetTable" displayName="MonthlyBudgetTable" ref="A4:N52" headerRowCount="1">
  <x:tableColumns count="14">
    <x:tableColumn id="1" name="Budget ID"/>
    <x:tableColumn id="2" name="Department"/>
    <x:tableColumn id="3" name="Category"/>
    <x:tableColumn id="4" name="Month"/>
    <x:tableColumn id="5" name="Approved Budget (XAF)"/>
    <x:tableColumn id="6" name="Actual (XAF)"/>
    <x:tableColumn id="7" name="Committed (XAF)"/>
    <x:tableColumn id="8" name="Remaining (XAF)"/>
    <x:tableColumn id="9" name="Variance (XAF)"/>
    <x:tableColumn id="10" name="Variance (%)"/>
    <x:tableColumn id="11" name="Budget Owner"/>
    <x:tableColumn id="12" name="Status"/>
    <x:tableColumn id="13" name="Scenario"/>
    <x:tableColumn id="14" name="Data Classification"/>
  </x:tableColumns>
  <x:tableStyleInfo name="TableStyleMedium2" showRowStripes="1"/>
</x:table>
</file>

<file path=xl/tables/table6.xml><?xml version="1.0" encoding="utf-8"?>
<x:table xmlns:x="http://schemas.openxmlformats.org/spreadsheetml/2006/main" id="6" name="CashFlowTable" displayName="CashFlowTable" ref="A4:N16" headerRowCount="1">
  <x:tableColumns count="14">
    <x:tableColumn id="1" name="Month"/>
    <x:tableColumn id="2" name="Opening Cash (XAF)"/>
    <x:tableColumn id="3" name="Customer Collections"/>
    <x:tableColumn id="4" name="Other Inflows"/>
    <x:tableColumn id="5" name="Payroll"/>
    <x:tableColumn id="6" name="Supplier Payments"/>
    <x:tableColumn id="7" name="Operating Expenses"/>
    <x:tableColumn id="8" name="Tax/Finance Costs"/>
    <x:tableColumn id="9" name="Capital Expenditure"/>
    <x:tableColumn id="10" name="Net Cash Flow"/>
    <x:tableColumn id="11" name="Closing Cash"/>
    <x:tableColumn id="12" name="Minimum Cash"/>
    <x:tableColumn id="13" name="Financing Gap"/>
    <x:tableColumn id="14" name="Data Classification"/>
  </x:tableColumns>
  <x:tableStyleInfo name="TableStyleMedium2" showRowStripes="1"/>
</x:table>
</file>

<file path=xl/tables/table7.xml><?xml version="1.0" encoding="utf-8"?>
<x:table xmlns:x="http://schemas.openxmlformats.org/spreadsheetml/2006/main" id="7" name="RiskRegisterTable" displayName="RiskRegisterTable" ref="A4:P14" headerRowCount="1">
  <x:tableColumns count="16">
    <x:tableColumn id="1" name="Risk ID"/>
    <x:tableColumn id="2" name="Risk Title"/>
    <x:tableColumn id="3" name="Category"/>
    <x:tableColumn id="4" name="Description"/>
    <x:tableColumn id="5" name="Likelihood (1-5)"/>
    <x:tableColumn id="6" name="Impact (1-5)"/>
    <x:tableColumn id="7" name="Inherent Score"/>
    <x:tableColumn id="8" name="Existing Control"/>
    <x:tableColumn id="9" name="Mitigation Action"/>
    <x:tableColumn id="10" name="Owner"/>
    <x:tableColumn id="11" name="Due Date"/>
    <x:tableColumn id="12" name="Residual Likelihood"/>
    <x:tableColumn id="13" name="Residual Impact"/>
    <x:tableColumn id="14" name="Residual Score"/>
    <x:tableColumn id="15" name="Status"/>
    <x:tableColumn id="16" name="Data Classification"/>
  </x:tableColumns>
  <x:tableStyleInfo name="TableStyleMedium2" showRowStripes="1"/>
</x:table>
</file>

<file path=xl/tables/table8.xml><?xml version="1.0" encoding="utf-8"?>
<x:table xmlns:x="http://schemas.openxmlformats.org/spreadsheetml/2006/main" id="8" name="StakeholderTable" displayName="StakeholderTable" ref="A4:N14" headerRowCount="1">
  <x:tableColumns count="14">
    <x:tableColumn id="1" name="Stakeholder ID"/>
    <x:tableColumn id="2" name="Stakeholder Group"/>
    <x:tableColumn id="3" name="Internal/External"/>
    <x:tableColumn id="4" name="Influence"/>
    <x:tableColumn id="5" name="Interest"/>
    <x:tableColumn id="6" name="Primary Expectation"/>
    <x:tableColumn id="7" name="Engagement Method"/>
    <x:tableColumn id="8" name="Frequency"/>
    <x:tableColumn id="9" name="Owner"/>
    <x:tableColumn id="10" name="Current Status"/>
    <x:tableColumn id="11" name="Issue Raised"/>
    <x:tableColumn id="12" name="Management Response"/>
    <x:tableColumn id="13" name="Satisfaction (1-5)"/>
    <x:tableColumn id="14" name="Data Classification"/>
  </x:tableColumns>
  <x:tableStyleInfo name="TableStyleMedium2" showRowStripes="1"/>
</x:table>
</file>

<file path=xl/tables/table9.xml><?xml version="1.0" encoding="utf-8"?>
<x:table xmlns:x="http://schemas.openxmlformats.org/spreadsheetml/2006/main" id="9" name="ResourceTable" displayName="ResourceTable" ref="A4:N14" headerRowCount="1">
  <x:tableColumns count="14">
    <x:tableColumn id="1" name="Resource ID"/>
    <x:tableColumn id="2" name="Department"/>
    <x:tableColumn id="3" name="Resource Type"/>
    <x:tableColumn id="4" name="Resource Description"/>
    <x:tableColumn id="5" name="Available"/>
    <x:tableColumn id="6" name="Required—Optimistic"/>
    <x:tableColumn id="7" name="Required—Main"/>
    <x:tableColumn id="8" name="Required—Pessimistic"/>
    <x:tableColumn id="9" name="Allocated"/>
    <x:tableColumn id="10" name="Gap—Main"/>
    <x:tableColumn id="11" name="Unit Cost (XAF)"/>
    <x:tableColumn id="12" name="Estimated Gap Cost (XAF)"/>
    <x:tableColumn id="13" name="Owner"/>
    <x:tableColumn id="14" name="Data Classification"/>
  </x:tableColumns>
  <x:tableStyleInfo name="TableStyleMedium2" showRowStripes="1"/>
</x:table>
</file>

<file path=xl/tables/table10.xml><?xml version="1.0" encoding="utf-8"?>
<x:table xmlns:x="http://schemas.openxmlformats.org/spreadsheetml/2006/main" id="10" name="WorkflowTable" displayName="WorkflowTable" ref="A4:N14" headerRowCount="1">
  <x:tableColumns count="14">
    <x:tableColumn id="1" name="Activity ID"/>
    <x:tableColumn id="2" name="Phase"/>
    <x:tableColumn id="3" name="Activity"/>
    <x:tableColumn id="4" name="Responsible Role"/>
    <x:tableColumn id="5" name="Reviewer"/>
    <x:tableColumn id="6" name="Approver"/>
    <x:tableColumn id="7" name="Evidence Required"/>
    <x:tableColumn id="8" name="Gate"/>
    <x:tableColumn id="9" name="Planned Date"/>
    <x:tableColumn id="10" name="Actual Date"/>
    <x:tableColumn id="11" name="Status"/>
    <x:tableColumn id="12" name="Evidence Complete (%)"/>
    <x:tableColumn id="13" name="Comments"/>
    <x:tableColumn id="14" name="Data Classification"/>
  </x:tableColumns>
  <x:tableStyleInfo name="TableStyleMedium2" showRowStripes="1"/>
</x:table>
</file>

<file path=xl/tables/table11.xml><?xml version="1.0" encoding="utf-8"?>
<x:table xmlns:x="http://schemas.openxmlformats.org/spreadsheetml/2006/main" id="11" name="CorrectiveActionsTable" displayName="CorrectiveActionsTable" ref="A4:L12" headerRowCount="1">
  <x:tableColumns count="12">
    <x:tableColumn id="1" name="Action ID"/>
    <x:tableColumn id="2" name="Source Finding"/>
    <x:tableColumn id="3" name="Capability"/>
    <x:tableColumn id="4" name="Corrective Action"/>
    <x:tableColumn id="5" name="Owner"/>
    <x:tableColumn id="6" name="Priority"/>
    <x:tableColumn id="7" name="Start Date"/>
    <x:tableColumn id="8" name="Due Date"/>
    <x:tableColumn id="9" name="Status"/>
    <x:tableColumn id="10" name="Completion (%)"/>
    <x:tableColumn id="11" name="Evidence"/>
    <x:tableColumn id="12" name="Data Classification"/>
  </x:tableColumns>
  <x:tableStyleInfo name="TableStyleMedium2" showRowStripes="1"/>
</x:table>
</file>

<file path=xl/tables/table12.xml><?xml version="1.0" encoding="utf-8"?>
<x:table xmlns:x="http://schemas.openxmlformats.org/spreadsheetml/2006/main" id="12" name="PostInterventionTable" displayName="PostInterventionTable" ref="A4:K10" headerRowCount="1">
  <x:tableColumns count="11">
    <x:tableColumn id="1" name="Cycle"/>
    <x:tableColumn id="2" name="Assessment Date"/>
    <x:tableColumn id="3" name="Construct Code"/>
    <x:tableColumn id="4" name="Full Construct Name"/>
    <x:tableColumn id="5" name="Baseline Score"/>
    <x:tableColumn id="6" name="Post-Intervention Score"/>
    <x:tableColumn id="7" name="Absolute Change"/>
    <x:tableColumn id="8" name="Percentage Change"/>
    <x:tableColumn id="9" name="Sample Size"/>
    <x:tableColumn id="10" name="Validated By"/>
    <x:tableColumn id="11" name="Data Classification"/>
  </x:tableColumns>
  <x:tableStyleInfo name="TableStyleMedium2" showRowStripes="1"/>
</x:table>
</file>

<file path=xl/tables/table13.xml><?xml version="1.0" encoding="utf-8"?>
<x:table xmlns:x="http://schemas.openxmlformats.org/spreadsheetml/2006/main" id="13" name="ImportMapTable" displayName="ImportMapTable" ref="A4:H15" headerRowCount="1">
  <x:tableColumns count="8">
    <x:tableColumn id="1" name="Workbook Sheet"/>
    <x:tableColumn id="2" name="App/Database Table"/>
    <x:tableColumn id="3" name="Primary Use"/>
    <x:tableColumn id="4" name="Directly Importable?"/>
    <x:tableColumn id="5" name="Required Transformation"/>
    <x:tableColumn id="6" name="Pilot Owner"/>
    <x:tableColumn id="7" name="Data Classification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f6753bb5fb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5f839343040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3f4d1c453741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1b9e4e09504e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dc4b31fdf24f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9c8c2a7b6e45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d08ae0c3ed4f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2b0d0fd25d47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2346e4962d14a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3f3f1acca484b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d1d5159db5446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fcbed42479c47f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0ca253744224b0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3b9a5985d54a486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5" hidden="0" customWidth="1"/>
    <x:col min="4" max="4" width="22" hidden="0" customWidth="1"/>
    <x:col min="5" max="5" width="22" hidden="0" customWidth="1"/>
    <x:col min="6" max="6" width="24" hidden="0" customWidth="1"/>
    <x:col min="7" max="7" width="38" hidden="0" customWidth="1"/>
    <x:col min="8" max="8" width="34" hidden="0" customWidth="1"/>
  </x:cols>
  <x:sheetData>
    <x:row r="1" ht="28" customHeight="1">
      <x:c r="A1" s="5" t="str">
        <x:v>BIH Solutions SFPMS Pilot Data Pack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2" t="str">
        <x:v>Combines verified research baselines, user-provided company figures, forecasts, scenario assumptions and simulated pilot records. Simulated values must not be reported as actual BIH Solutions outcomes.</x:v>
      </x:c>
      <x:c r="B2" s="12"/>
      <x:c r="C2" s="12"/>
      <x:c r="D2" s="12"/>
      <x:c r="E2" s="12"/>
      <x:c r="F2" s="12"/>
      <x:c r="G2" s="12"/>
      <x:c r="H2" s="12"/>
    </x:row>
    <x:row r="4" ht="28" customHeight="1">
      <x:c r="A4" s="20" t="str">
        <x:v>Data Class</x:v>
      </x:c>
      <x:c r="B4" s="20" t="str">
        <x:v>Meaning</x:v>
      </x:c>
      <x:c r="C4" s="20" t="str">
        <x:v>Use in Pilot</x:v>
      </x:c>
      <x:c r="D4" s="20" t="str">
        <x:v>Report as Actual?</x:v>
      </x:c>
      <x:c r="E4" s="20" t="str">
        <x:v>Owner</x:v>
      </x:c>
      <x:c r="F4" s="20" t="str">
        <x:v>Validation Required</x:v>
      </x:c>
      <x:c r="G4" s="20" t="str">
        <x:v>Source</x:v>
      </x:c>
      <x:c r="H4" s="20" t="str">
        <x:v>Notes</x:v>
      </x:c>
    </x:row>
    <x:row r="5">
      <x:c r="A5" s="26" t="str">
        <x:v>Research baseline</x:v>
      </x:c>
      <x:c r="B5" s="26" t="str">
        <x:v>Derived from questionnaire analysis</x:v>
      </x:c>
      <x:c r="C5" s="26" t="str">
        <x:v>Pre-intervention comparison</x:v>
      </x:c>
      <x:c r="D5" s="26" t="str">
        <x:v>Yes, as research baseline</x:v>
      </x:c>
      <x:c r="E5" s="26" t="str">
        <x:v>Researcher</x:v>
      </x:c>
      <x:c r="F5" s="26" t="str">
        <x:v>Verify instrument and analysis</x:v>
      </x:c>
      <x:c r="G5" s="26" t="str">
        <x:v>Questionnaire Response dataset</x:v>
      </x:c>
      <x:c r="H5" s="26" t="str">
        <x:v>Use the six construct scores exactly.</x:v>
      </x:c>
    </x:row>
    <x:row r="6">
      <x:c r="A6" s="26" t="str">
        <x:v>Actual—pending reconciliation</x:v>
      </x:c>
      <x:c r="B6" s="26" t="str">
        <x:v>From BIH records but awaiting confirmation</x:v>
      </x:c>
      <x:c r="C6" s="26" t="str">
        <x:v>Financial diagnostic baseline</x:v>
      </x:c>
      <x:c r="D6" s="26" t="str">
        <x:v>Only after validation</x:v>
      </x:c>
      <x:c r="E6" s="26" t="str">
        <x:v>Finance Manager</x:v>
      </x:c>
      <x:c r="F6" s="26" t="str">
        <x:v>Reconcile source statements</x:v>
      </x:c>
      <x:c r="G6" s="26" t="str">
        <x:v>BIH Solutions 2024 Financial Report</x:v>
      </x:c>
      <x:c r="H6" s="26" t="str">
        <x:v>Resolve cash inconsistency before decisions.</x:v>
      </x:c>
    </x:row>
    <x:row r="7">
      <x:c r="A7" s="26" t="str">
        <x:v>Forecast</x:v>
      </x:c>
      <x:c r="B7" s="26" t="str">
        <x:v>Future management estimate</x:v>
      </x:c>
      <x:c r="C7" s="26" t="str">
        <x:v>Main planning case</x:v>
      </x:c>
      <x:c r="D7" s="26" t="str">
        <x:v>No</x:v>
      </x:c>
      <x:c r="E7" s="26" t="str">
        <x:v>Finance Manager</x:v>
      </x:c>
      <x:c r="F7" s="26" t="str">
        <x:v>Approve assumptions</x:v>
      </x:c>
      <x:c r="G7" s="26" t="str">
        <x:v>Management planning workshop</x:v>
      </x:c>
      <x:c r="H7" s="26" t="str">
        <x:v>Update monthly.</x:v>
      </x:c>
    </x:row>
    <x:row r="8">
      <x:c r="A8" s="26" t="str">
        <x:v>Scenario assumption</x:v>
      </x:c>
      <x:c r="B8" s="26" t="str">
        <x:v>Optimistic/Main/Pessimistic input</x:v>
      </x:c>
      <x:c r="C8" s="26" t="str">
        <x:v>Scenario analytics</x:v>
      </x:c>
      <x:c r="D8" s="26" t="str">
        <x:v>No</x:v>
      </x:c>
      <x:c r="E8" s="26" t="str">
        <x:v>SFP Committee</x:v>
      </x:c>
      <x:c r="F8" s="26" t="str">
        <x:v>Approve owner and rationale</x:v>
      </x:c>
      <x:c r="G8" s="26" t="str">
        <x:v>Pilot design assumption</x:v>
      </x:c>
      <x:c r="H8" s="26" t="str">
        <x:v>Document and date every assumption.</x:v>
      </x:c>
    </x:row>
    <x:row r="9">
      <x:c r="A9" s="26" t="str">
        <x:v>Simulated pilot data</x:v>
      </x:c>
      <x:c r="B9" s="26" t="str">
        <x:v>Synthetic records for testing</x:v>
      </x:c>
      <x:c r="C9" s="26" t="str">
        <x:v>Demonstration and workflow testing</x:v>
      </x:c>
      <x:c r="D9" s="26" t="str">
        <x:v>No</x:v>
      </x:c>
      <x:c r="E9" s="26" t="str">
        <x:v>SFPMS Process Owner</x:v>
      </x:c>
      <x:c r="F9" s="26" t="str">
        <x:v>Replace before operational use</x:v>
      </x:c>
      <x:c r="G9" s="26" t="str">
        <x:v>Generated for pilot</x:v>
      </x:c>
      <x:c r="H9" s="26" t="str">
        <x:v>Clearly labelled throughout.</x:v>
      </x:c>
    </x:row>
    <x:row r="10">
      <x:c r="A10" s="26" t="str">
        <x:v>Post-intervention actual</x:v>
      </x:c>
      <x:c r="B10" s="26" t="str">
        <x:v>Collected after SFPMS use</x:v>
      </x:c>
      <x:c r="C10" s="26" t="str">
        <x:v>Action Research evaluation</x:v>
      </x:c>
      <x:c r="D10" s="26" t="str">
        <x:v>Yes, after validation</x:v>
      </x:c>
      <x:c r="E10" s="26" t="str">
        <x:v>Researcher and Process Owner</x:v>
      </x:c>
      <x:c r="F10" s="26" t="str">
        <x:v>Repeat survey and validate KPIs</x:v>
      </x:c>
      <x:c r="G10" s="26" t="str">
        <x:v>Pilot-cycle evidence</x:v>
      </x:c>
      <x:c r="H10" s="26" t="str">
        <x:v>Currently blank.</x:v>
      </x:c>
    </x:row>
    <x:row r="12">
      <x:c r="A12" s="31" t="str">
        <x:v>Recommended pilot sequence</x:v>
      </x:c>
      <x:c r="B12" s="31"/>
      <x:c r="C12" s="31"/>
      <x:c r="D12" s="31" t="str">
        <x:v>External reference basis</x:v>
      </x:c>
      <x:c r="E12" s="31"/>
      <x:c r="F12" s="31"/>
      <x:c r="G12" s="31"/>
      <x:c r="H12" s="31"/>
    </x:row>
    <x:row r="13">
      <x:c r="A13" t="str">
        <x:v>1</x:v>
      </x:c>
      <x:c r="B13" t="str">
        <x:v>Validate opening financial data and reconcile cash</x:v>
      </x:c>
      <x:c r="D13" t="str">
        <x:v>IFC Cameroon MSME financial-management training</x:v>
      </x:c>
      <x:c r="E13" t="str">
        <x:v>https://www.ifc.org/en/pressroom/2025/ifc-and-apme-partner-to-provide-training-to-strengthen-msmes-in-cameroon</x:v>
      </x:c>
    </x:row>
    <x:row r="14">
      <x:c r="A14" t="str">
        <x:v>2</x:v>
      </x:c>
      <x:c r="B14" t="str">
        <x:v>Confirm five strategic objectives and owners</x:v>
      </x:c>
      <x:c r="D14" t="str">
        <x:v>ISO 31000 risk-management guidance</x:v>
      </x:c>
      <x:c r="E14" t="str">
        <x:v>https://www.iso.org/standard/65694.html</x:v>
      </x:c>
    </x:row>
    <x:row r="15">
      <x:c r="A15" t="str">
        <x:v>3</x:v>
      </x:c>
      <x:c r="B15" t="str">
        <x:v>Approve Main, Optimistic and Pessimistic assumptions</x:v>
      </x:c>
      <x:c r="D15" t="str">
        <x:v>NIST risk-register definition</x:v>
      </x:c>
      <x:c r="E15" t="str">
        <x:v>https://csrc.nist.gov/glossary/term/Risk_Register</x:v>
      </x:c>
    </x:row>
    <x:row r="16">
      <x:c r="A16" t="str">
        <x:v>4</x:v>
      </x:c>
      <x:c r="B16" t="str">
        <x:v>Run one 12-month planning cycle in the SFPMS</x:v>
      </x:c>
      <x:c r="D16" t="str">
        <x:v>PMI stakeholder-management guidance</x:v>
      </x:c>
      <x:c r="E16" t="str">
        <x:v>https://www.pmi.org/learning/library/2019/04/07/15/28/stakeholder-management-keeping-stakeholders-happy-6697</x:v>
      </x:c>
    </x:row>
    <x:row r="17">
      <x:c r="A17" t="str">
        <x:v>5</x:v>
      </x:c>
      <x:c r="B17" t="str">
        <x:v>Review dashboards monthly and decision gates at milestones</x:v>
      </x:c>
    </x:row>
    <x:row r="18">
      <x:c r="A18" t="str">
        <x:v>6</x:v>
      </x:c>
      <x:c r="B18" t="str">
        <x:v>Repeat questionnaire and collect process KPIs after the pilot</x:v>
      </x:c>
    </x:row>
  </x:sheetData>
  <x:mergeCells>
    <x:mergeCell ref="A1:H1"/>
    <x:mergeCell ref="A2:H2"/>
    <x:mergeCell ref="A12:H12"/>
    <x:mergeCell ref="D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8" hidden="0" customWidth="1"/>
    <x:col min="4" max="4" width="14" hidden="0" customWidth="1"/>
    <x:col min="5" max="5" width="14" hidden="0" customWidth="1"/>
    <x:col min="6" max="6" width="42" hidden="0" customWidth="1"/>
    <x:col min="7" max="7" width="24" hidden="0" customWidth="1"/>
  </x:cols>
  <x:sheetData>
    <x:row r="1" ht="28" customHeight="1">
      <x:c r="A1" s="5" t="str">
        <x:v>Research Baseline Scores</x:v>
      </x:c>
      <x:c r="B1" s="5"/>
      <x:c r="C1" s="5"/>
      <x:c r="D1" s="5"/>
      <x:c r="E1" s="5"/>
      <x:c r="F1" s="5"/>
      <x:c r="G1" s="5"/>
    </x:row>
    <x:row r="2" ht="32" customHeight="1">
      <x:c r="A2" s="12" t="str">
        <x:v>Pre-intervention construct scores from the questionnaire analysis. These values are actual research baselines, not simulated.</x:v>
      </x:c>
      <x:c r="B2" s="12"/>
      <x:c r="C2" s="12"/>
      <x:c r="D2" s="12"/>
      <x:c r="E2" s="12"/>
      <x:c r="F2" s="12"/>
      <x:c r="G2" s="12"/>
    </x:row>
    <x:row r="4" ht="28" customHeight="1">
      <x:c r="A4" s="20" t="str">
        <x:v>Code</x:v>
      </x:c>
      <x:c r="B4" s="20" t="str">
        <x:v>Full Construct Name</x:v>
      </x:c>
      <x:c r="C4" s="20" t="str">
        <x:v>Baseline Score</x:v>
      </x:c>
      <x:c r="D4" s="20" t="str">
        <x:v>Scale Minimum</x:v>
      </x:c>
      <x:c r="E4" s="20" t="str">
        <x:v>Scale Maximum</x:v>
      </x:c>
      <x:c r="F4" s="20" t="str">
        <x:v>Interpretation</x:v>
      </x:c>
      <x:c r="G4" s="20" t="str">
        <x:v>Data Classification</x:v>
      </x:c>
    </x:row>
    <x:row r="5">
      <x:c r="A5" t="str">
        <x:v>SFPE</x:v>
      </x:c>
      <x:c r="B5" t="str">
        <x:v>Strategic Financial Planning Effectiveness</x:v>
      </x:c>
      <x:c r="C5" s="36" t="n">
        <x:v>2.781</x:v>
      </x:c>
      <x:c r="D5" t="n">
        <x:v>1</x:v>
      </x:c>
      <x:c r="E5" t="n">
        <x:v>5</x:v>
      </x:c>
      <x:c r="F5" t="str">
        <x:v>Below scale midpoint; improvement required</x:v>
      </x:c>
      <x:c r="G5" t="str">
        <x:v>Research baseline</x:v>
      </x:c>
    </x:row>
    <x:row r="6">
      <x:c r="A6" t="str">
        <x:v>FLQ</x:v>
      </x:c>
      <x:c r="B6" t="str">
        <x:v>Financial Leadership Quality</x:v>
      </x:c>
      <x:c r="C6" s="36" t="n">
        <x:v>2.7</x:v>
      </x:c>
      <x:c r="D6" t="n">
        <x:v>1</x:v>
      </x:c>
      <x:c r="E6" t="n">
        <x:v>5</x:v>
      </x:c>
      <x:c r="F6" t="str">
        <x:v>Below scale midpoint; strongest unique predictor</x:v>
      </x:c>
      <x:c r="G6" t="str">
        <x:v>Research baseline</x:v>
      </x:c>
    </x:row>
    <x:row r="7">
      <x:c r="A7" t="str">
        <x:v>FIQ-Core</x:v>
      </x:c>
      <x:c r="B7" t="str">
        <x:v>Financial Information Quality—Core</x:v>
      </x:c>
      <x:c r="C7" s="36" t="n">
        <x:v>2.705</x:v>
      </x:c>
      <x:c r="D7" t="n">
        <x:v>1</x:v>
      </x:c>
      <x:c r="E7" t="n">
        <x:v>5</x:v>
      </x:c>
      <x:c r="F7" t="str">
        <x:v>Below midpoint; provisional core scale</x:v>
      </x:c>
      <x:c r="G7" t="str">
        <x:v>Research baseline</x:v>
      </x:c>
    </x:row>
    <x:row r="8">
      <x:c r="A8" t="str">
        <x:v>FRM</x:v>
      </x:c>
      <x:c r="B8" t="str">
        <x:v>Financial Risk Management</x:v>
      </x:c>
      <x:c r="C8" s="36" t="n">
        <x:v>2.733</x:v>
      </x:c>
      <x:c r="D8" t="n">
        <x:v>1</x:v>
      </x:c>
      <x:c r="E8" t="n">
        <x:v>5</x:v>
      </x:c>
      <x:c r="F8" t="str">
        <x:v>Below scale midpoint</x:v>
      </x:c>
      <x:c r="G8" t="str">
        <x:v>Research baseline</x:v>
      </x:c>
    </x:row>
    <x:row r="9">
      <x:c r="A9" t="str">
        <x:v>SM</x:v>
      </x:c>
      <x:c r="B9" t="str">
        <x:v>Stakeholder Management</x:v>
      </x:c>
      <x:c r="C9" s="36" t="n">
        <x:v>2.67</x:v>
      </x:c>
      <x:c r="D9" t="n">
        <x:v>1</x:v>
      </x:c>
      <x:c r="E9" t="n">
        <x:v>5</x:v>
      </x:c>
      <x:c r="F9" t="str">
        <x:v>Lowest baseline capability score</x:v>
      </x:c>
      <x:c r="G9" t="str">
        <x:v>Research baseline</x:v>
      </x:c>
    </x:row>
    <x:row r="10">
      <x:c r="A10" t="str">
        <x:v>RMC</x:v>
      </x:c>
      <x:c r="B10" t="str">
        <x:v>Resource Management Capability</x:v>
      </x:c>
      <x:c r="C10" s="36" t="n">
        <x:v>2.742</x:v>
      </x:c>
      <x:c r="D10" t="n">
        <x:v>1</x:v>
      </x:c>
      <x:c r="E10" t="n">
        <x:v>5</x:v>
      </x:c>
      <x:c r="F10" t="str">
        <x:v>Below scale midpoint</x:v>
      </x:c>
      <x:c r="G10" t="str">
        <x:v>Research baseline</x:v>
      </x:c>
    </x:row>
    <x:row r="12">
      <x:c r="A12" s="31" t="str">
        <x:v>Model Result</x:v>
      </x:c>
      <x:c r="B12" s="31" t="str">
        <x:v>Value</x:v>
      </x:c>
      <x:c r="C12" s="31" t="str">
        <x:v>Interpretation</x:v>
      </x:c>
    </x:row>
    <x:row r="13">
      <x:c r="A13" t="str">
        <x:v>R-squared</x:v>
      </x:c>
      <x:c r="B13" t="n">
        <x:v>0.469</x:v>
      </x:c>
      <x:c r="C13" t="str">
        <x:v>Five capabilities collectively explained 46.9% of SFPE variation</x:v>
      </x:c>
    </x:row>
    <x:row r="14">
      <x:c r="A14" t="str">
        <x:v>Adjusted R-squared</x:v>
      </x:c>
      <x:c r="B14" t="n">
        <x:v>0.441</x:v>
      </x:c>
      <x:c r="C14" t="str">
        <x:v>Adjusted explanatory power</x:v>
      </x:c>
    </x:row>
    <x:row r="15">
      <x:c r="A15" t="str">
        <x:v>Overall F statistic</x:v>
      </x:c>
      <x:c r="B15" t="n">
        <x:v>16.43</x:v>
      </x:c>
      <x:c r="C15" t="str">
        <x:v>Overall regression model</x:v>
      </x:c>
    </x:row>
    <x:row r="16">
      <x:c r="A16" t="str">
        <x:v>Overall p-value</x:v>
      </x:c>
      <x:c r="B16" t="n">
        <x:v>1.352e-11</x:v>
      </x:c>
      <x:c r="C16" t="str">
        <x:v>Statistically significant overall model</x:v>
      </x:c>
    </x:row>
    <x:row r="17">
      <x:c r="A17" t="str">
        <x:v>Complete-case N</x:v>
      </x:c>
      <x:c r="B17" t="n">
        <x:v>99</x:v>
      </x:c>
      <x:c r="C17" t="str">
        <x:v>Final regression sample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5f6753bb5fb4e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26" hidden="0" customWidth="1"/>
    <x:col min="8" max="8" width="44" hidden="0" customWidth="1"/>
  </x:cols>
  <x:sheetData>
    <x:row r="1" ht="28" customHeight="1">
      <x:c r="A1" s="5" t="str">
        <x:v>BIH Solutions Financial Baseline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2" t="str">
        <x:v>User-provided 2024 figures. Classification is Actual—pending reconciliation until Finance Manager validation.</x:v>
      </x:c>
      <x:c r="B2" s="12"/>
      <x:c r="C2" s="12"/>
      <x:c r="D2" s="12"/>
      <x:c r="E2" s="12"/>
      <x:c r="F2" s="12"/>
      <x:c r="G2" s="12"/>
      <x:c r="H2" s="12"/>
    </x:row>
    <x:row r="4" ht="28" customHeight="1">
      <x:c r="A4" s="20" t="str">
        <x:v>Statement</x:v>
      </x:c>
      <x:c r="B4" s="20" t="str">
        <x:v>Line Item</x:v>
      </x:c>
      <x:c r="C4" s="20" t="str">
        <x:v>2024 Amount (XAF)</x:v>
      </x:c>
      <x:c r="D4" s="20" t="str">
        <x:v>2023 Amount (XAF)</x:v>
      </x:c>
      <x:c r="E4" s="20" t="str">
        <x:v>Change (XAF)</x:v>
      </x:c>
      <x:c r="F4" s="20" t="str">
        <x:v>Change (%)</x:v>
      </x:c>
      <x:c r="G4" s="20" t="str">
        <x:v>Data Classification</x:v>
      </x:c>
      <x:c r="H4" s="20" t="str">
        <x:v>Source/Validation Note</x:v>
      </x:c>
    </x:row>
    <x:row r="5">
      <x:c r="A5" t="str">
        <x:v>Balance Sheet</x:v>
      </x:c>
      <x:c r="B5" t="str">
        <x:v>Total Assets</x:v>
      </x:c>
      <x:c r="C5" s="42" t="n">
        <x:v>5000000</x:v>
      </x:c>
      <x:c r="D5" s="42" t="n">
        <x:v>2400000</x:v>
      </x:c>
      <x:c r="E5" s="44" t="n">
        <x:f>IF(D5="","",C5-D5)</x:f>
        <x:v>2600000</x:v>
      </x:c>
      <x:c r="F5" s="45" t="n">
        <x:f>IF(OR(D5="",D5=0),"",E5/D5)</x:f>
        <x:v>1.0833333333333333</x:v>
      </x:c>
      <x:c r="G5" t="str">
        <x:v>Actual—pending reconciliation</x:v>
      </x:c>
      <x:c r="H5" t="str">
        <x:v>BIH Solutions 2024 Financial Report</x:v>
      </x:c>
    </x:row>
    <x:row r="6">
      <x:c r="A6" t="str">
        <x:v>Balance Sheet</x:v>
      </x:c>
      <x:c r="B6" t="str">
        <x:v>Current Assets</x:v>
      </x:c>
      <x:c r="C6" s="42" t="n">
        <x:v>3000000</x:v>
      </x:c>
      <x:c r="D6" s="42" t="n">
        <x:v>1500000</x:v>
      </x:c>
      <x:c r="E6" s="44" t="n">
        <x:f>IF(D6="","",C6-D6)</x:f>
        <x:v>1500000</x:v>
      </x:c>
      <x:c r="F6" s="45" t="n">
        <x:f>IF(OR(D6="",D6=0),"",E6/D6)</x:f>
        <x:v>1</x:v>
      </x:c>
      <x:c r="G6" t="str">
        <x:v>Actual—pending reconciliation</x:v>
      </x:c>
      <x:c r="H6" t="str">
        <x:v>BIH Solutions 2024 Financial Report</x:v>
      </x:c>
    </x:row>
    <x:row r="7">
      <x:c r="A7" t="str">
        <x:v>Balance Sheet</x:v>
      </x:c>
      <x:c r="B7" t="str">
        <x:v>Non-current Assets</x:v>
      </x:c>
      <x:c r="C7" s="42" t="n">
        <x:v>2000000</x:v>
      </x:c>
      <x:c r="D7" s="42" t="n">
        <x:v>1000000</x:v>
      </x:c>
      <x:c r="E7" s="44" t="n">
        <x:f>IF(D7="","",C7-D7)</x:f>
        <x:v>1000000</x:v>
      </x:c>
      <x:c r="F7" s="45" t="n">
        <x:f>IF(OR(D7="",D7=0),"",E7/D7)</x:f>
        <x:v>1</x:v>
      </x:c>
      <x:c r="G7" t="str">
        <x:v>Actual—pending reconciliation</x:v>
      </x:c>
      <x:c r="H7" t="str">
        <x:v>BIH Solutions 2024 Financial Report</x:v>
      </x:c>
    </x:row>
    <x:row r="8">
      <x:c r="A8" t="str">
        <x:v>Balance Sheet</x:v>
      </x:c>
      <x:c r="B8" t="str">
        <x:v>Cash</x:v>
      </x:c>
      <x:c r="C8" s="42" t="n">
        <x:v>1200000</x:v>
      </x:c>
      <x:c r="D8" s="42" t="n">
        <x:v>600000</x:v>
      </x:c>
      <x:c r="E8" s="44" t="n">
        <x:f>IF(D8="","",C8-D8)</x:f>
        <x:v>600000</x:v>
      </x:c>
      <x:c r="F8" s="45" t="n">
        <x:f>IF(OR(D8="",D8=0),"",E8/D8)</x:f>
        <x:v>1</x:v>
      </x:c>
      <x:c r="G8" t="str">
        <x:v>Actual—pending reconciliation</x:v>
      </x:c>
      <x:c r="H8" t="str">
        <x:v>Reconcile against cash-flow closing balance</x:v>
      </x:c>
    </x:row>
    <x:row r="9">
      <x:c r="A9" t="str">
        <x:v>Balance Sheet</x:v>
      </x:c>
      <x:c r="B9" t="str">
        <x:v>Receivables</x:v>
      </x:c>
      <x:c r="C9" s="42" t="n">
        <x:v>1200000</x:v>
      </x:c>
      <x:c r="D9" s="42" t="n">
        <x:v>600000</x:v>
      </x:c>
      <x:c r="E9" s="44" t="n">
        <x:f>IF(D9="","",C9-D9)</x:f>
        <x:v>600000</x:v>
      </x:c>
      <x:c r="F9" s="45" t="n">
        <x:f>IF(OR(D9="",D9=0),"",E9/D9)</x:f>
        <x:v>1</x:v>
      </x:c>
      <x:c r="G9" t="str">
        <x:v>Actual—pending reconciliation</x:v>
      </x:c>
      <x:c r="H9" t="str">
        <x:v>BIH Solutions 2024 Financial Report</x:v>
      </x:c>
    </x:row>
    <x:row r="10">
      <x:c r="A10" t="str">
        <x:v>Balance Sheet</x:v>
      </x:c>
      <x:c r="B10" t="str">
        <x:v>Inventory</x:v>
      </x:c>
      <x:c r="C10" s="42" t="n">
        <x:v>600000</x:v>
      </x:c>
      <x:c r="D10" s="42" t="n">
        <x:v>300000</x:v>
      </x:c>
      <x:c r="E10" s="44" t="n">
        <x:f>IF(D10="","",C10-D10)</x:f>
        <x:v>300000</x:v>
      </x:c>
      <x:c r="F10" s="45" t="n">
        <x:f>IF(OR(D10="",D10=0),"",E10/D10)</x:f>
        <x:v>1</x:v>
      </x:c>
      <x:c r="G10" t="str">
        <x:v>Actual—pending reconciliation</x:v>
      </x:c>
      <x:c r="H10" t="str">
        <x:v>BIH Solutions 2024 Financial Report</x:v>
      </x:c>
    </x:row>
    <x:row r="11">
      <x:c r="A11" t="str">
        <x:v>Balance Sheet</x:v>
      </x:c>
      <x:c r="B11" t="str">
        <x:v>Liabilities</x:v>
      </x:c>
      <x:c r="C11" s="42" t="n">
        <x:v>3500000</x:v>
      </x:c>
      <x:c r="D11" s="42" t="n">
        <x:v>1500000</x:v>
      </x:c>
      <x:c r="E11" s="44" t="n">
        <x:f>IF(D11="","",C11-D11)</x:f>
        <x:v>2000000</x:v>
      </x:c>
      <x:c r="F11" s="45" t="n">
        <x:f>IF(OR(D11="",D11=0),"",E11/D11)</x:f>
        <x:v>1.3333333333333333</x:v>
      </x:c>
      <x:c r="G11" t="str">
        <x:v>Actual—pending reconciliation</x:v>
      </x:c>
      <x:c r="H11" t="str">
        <x:v>BIH Solutions 2024 Financial Report</x:v>
      </x:c>
    </x:row>
    <x:row r="12">
      <x:c r="A12" t="str">
        <x:v>Balance Sheet</x:v>
      </x:c>
      <x:c r="B12" t="str">
        <x:v>Equity</x:v>
      </x:c>
      <x:c r="C12" s="42" t="n">
        <x:v>1500000</x:v>
      </x:c>
      <x:c r="D12" s="42" t="n">
        <x:v>900000</x:v>
      </x:c>
      <x:c r="E12" s="44" t="n">
        <x:f>IF(D12="","",C12-D12)</x:f>
        <x:v>600000</x:v>
      </x:c>
      <x:c r="F12" s="45" t="n">
        <x:f>IF(OR(D12="",D12=0),"",E12/D12)</x:f>
        <x:v>0.6666666666666666</x:v>
      </x:c>
      <x:c r="G12" t="str">
        <x:v>Actual—pending reconciliation</x:v>
      </x:c>
      <x:c r="H12" t="str">
        <x:v>BIH Solutions 2024 Financial Report</x:v>
      </x:c>
    </x:row>
    <x:row r="13">
      <x:c r="A13" t="str">
        <x:v>Income Statement</x:v>
      </x:c>
      <x:c r="B13" t="str">
        <x:v>Revenue</x:v>
      </x:c>
      <x:c r="C13" s="42" t="n">
        <x:v>4000000</x:v>
      </x:c>
      <x:c r="D13" s="42"/>
      <x:c r="E13" s="44" t="str">
        <x:f>IF(D13="","",C13-D13)</x:f>
      </x:c>
      <x:c r="F13" s="45" t="str">
        <x:f>IF(OR(D13="",D13=0),"",E13/D13)</x:f>
      </x:c>
      <x:c r="G13" t="str">
        <x:v>Actual—pending reconciliation</x:v>
      </x:c>
      <x:c r="H13" t="str">
        <x:v>BIH Solutions 2024 Financial Report</x:v>
      </x:c>
    </x:row>
    <x:row r="14">
      <x:c r="A14" t="str">
        <x:v>Income Statement</x:v>
      </x:c>
      <x:c r="B14" t="str">
        <x:v>Cost of Goods Sold</x:v>
      </x:c>
      <x:c r="C14" s="42" t="n">
        <x:v>2200000</x:v>
      </x:c>
      <x:c r="D14" s="42"/>
      <x:c r="E14" s="44" t="str">
        <x:f>IF(D14="","",C14-D14)</x:f>
      </x:c>
      <x:c r="F14" s="45" t="str">
        <x:f>IF(OR(D14="",D14=0),"",E14/D14)</x:f>
      </x:c>
      <x:c r="G14" t="str">
        <x:v>Actual—pending reconciliation</x:v>
      </x:c>
      <x:c r="H14" t="str">
        <x:v>BIH Solutions 2024 Financial Report</x:v>
      </x:c>
    </x:row>
    <x:row r="15">
      <x:c r="A15" t="str">
        <x:v>Income Statement</x:v>
      </x:c>
      <x:c r="B15" t="str">
        <x:v>Gross Profit</x:v>
      </x:c>
      <x:c r="C15" s="42" t="n">
        <x:v>1800000</x:v>
      </x:c>
      <x:c r="D15" s="42"/>
      <x:c r="E15" s="44" t="str">
        <x:f>IF(D15="","",C15-D15)</x:f>
      </x:c>
      <x:c r="F15" s="45" t="str">
        <x:f>IF(OR(D15="",D15=0),"",E15/D15)</x:f>
      </x:c>
      <x:c r="G15" t="str">
        <x:v>Actual—pending reconciliation</x:v>
      </x:c>
      <x:c r="H15" t="str">
        <x:v>BIH Solutions 2024 Financial Report</x:v>
      </x:c>
    </x:row>
    <x:row r="16">
      <x:c r="A16" t="str">
        <x:v>Income Statement</x:v>
      </x:c>
      <x:c r="B16" t="str">
        <x:v>Operating Expenses</x:v>
      </x:c>
      <x:c r="C16" s="42" t="n">
        <x:v>550000</x:v>
      </x:c>
      <x:c r="D16" s="42"/>
      <x:c r="E16" s="44" t="str">
        <x:f>IF(D16="","",C16-D16)</x:f>
      </x:c>
      <x:c r="F16" s="45" t="str">
        <x:f>IF(OR(D16="",D16=0),"",E16/D16)</x:f>
      </x:c>
      <x:c r="G16" t="str">
        <x:v>Actual—pending reconciliation</x:v>
      </x:c>
      <x:c r="H16" t="str">
        <x:v>BIH Solutions 2024 Financial Report</x:v>
      </x:c>
    </x:row>
    <x:row r="17">
      <x:c r="A17" t="str">
        <x:v>Income Statement</x:v>
      </x:c>
      <x:c r="B17" t="str">
        <x:v>Operating Profit</x:v>
      </x:c>
      <x:c r="C17" s="42" t="n">
        <x:v>1250000</x:v>
      </x:c>
      <x:c r="D17" s="42"/>
      <x:c r="E17" s="44" t="str">
        <x:f>IF(D17="","",C17-D17)</x:f>
      </x:c>
      <x:c r="F17" s="45" t="str">
        <x:f>IF(OR(D17="",D17=0),"",E17/D17)</x:f>
      </x:c>
      <x:c r="G17" t="str">
        <x:v>Actual—pending reconciliation</x:v>
      </x:c>
      <x:c r="H17" t="str">
        <x:v>BIH Solutions 2024 Financial Report</x:v>
      </x:c>
    </x:row>
    <x:row r="18">
      <x:c r="A18" t="str">
        <x:v>Income Statement</x:v>
      </x:c>
      <x:c r="B18" t="str">
        <x:v>Finance Cost</x:v>
      </x:c>
      <x:c r="C18" s="42" t="n">
        <x:v>160000</x:v>
      </x:c>
      <x:c r="D18" s="42"/>
      <x:c r="E18" s="44" t="str">
        <x:f>IF(D18="","",C18-D18)</x:f>
      </x:c>
      <x:c r="F18" s="45" t="str">
        <x:f>IF(OR(D18="",D18=0),"",E18/D18)</x:f>
      </x:c>
      <x:c r="G18" t="str">
        <x:v>Actual—pending reconciliation</x:v>
      </x:c>
      <x:c r="H18" t="str">
        <x:v>BIH Solutions 2024 Financial Report</x:v>
      </x:c>
    </x:row>
    <x:row r="19">
      <x:c r="A19" t="str">
        <x:v>Income Statement</x:v>
      </x:c>
      <x:c r="B19" t="str">
        <x:v>Profit Before Tax</x:v>
      </x:c>
      <x:c r="C19" s="42" t="n">
        <x:v>1090000</x:v>
      </x:c>
      <x:c r="D19" s="42"/>
      <x:c r="E19" s="44" t="str">
        <x:f>IF(D19="","",C19-D19)</x:f>
      </x:c>
      <x:c r="F19" s="45" t="str">
        <x:f>IF(OR(D19="",D19=0),"",E19/D19)</x:f>
      </x:c>
      <x:c r="G19" t="str">
        <x:v>Actual—pending reconciliation</x:v>
      </x:c>
      <x:c r="H19" t="str">
        <x:v>BIH Solutions 2024 Financial Report</x:v>
      </x:c>
    </x:row>
    <x:row r="20">
      <x:c r="A20" t="str">
        <x:v>Income Statement</x:v>
      </x:c>
      <x:c r="B20" t="str">
        <x:v>Tax</x:v>
      </x:c>
      <x:c r="C20" s="42" t="n">
        <x:v>90000</x:v>
      </x:c>
      <x:c r="D20" s="42"/>
      <x:c r="E20" s="44" t="str">
        <x:f>IF(D20="","",C20-D20)</x:f>
      </x:c>
      <x:c r="F20" s="45" t="str">
        <x:f>IF(OR(D20="",D20=0),"",E20/D20)</x:f>
      </x:c>
      <x:c r="G20" t="str">
        <x:v>Actual—pending reconciliation</x:v>
      </x:c>
      <x:c r="H20" t="str">
        <x:v>BIH Solutions 2024 Financial Report</x:v>
      </x:c>
    </x:row>
    <x:row r="21">
      <x:c r="A21" t="str">
        <x:v>Income Statement</x:v>
      </x:c>
      <x:c r="B21" t="str">
        <x:v>Net Profit</x:v>
      </x:c>
      <x:c r="C21" s="42" t="n">
        <x:v>1000000</x:v>
      </x:c>
      <x:c r="D21" s="42"/>
      <x:c r="E21" s="44" t="str">
        <x:f>IF(D21="","",C21-D21)</x:f>
      </x:c>
      <x:c r="F21" s="45" t="str">
        <x:f>IF(OR(D21="",D21=0),"",E21/D21)</x:f>
      </x:c>
      <x:c r="G21" t="str">
        <x:v>Actual—pending reconciliation</x:v>
      </x:c>
      <x:c r="H21" t="str">
        <x:v>BIH Solutions 2024 Financial Report</x:v>
      </x:c>
    </x:row>
    <x:row r="22">
      <x:c r="A22" t="str">
        <x:v>Cash Flow</x:v>
      </x:c>
      <x:c r="B22" t="str">
        <x:v>Closing Cash</x:v>
      </x:c>
      <x:c r="C22" s="42" t="n">
        <x:v>3340000</x:v>
      </x:c>
      <x:c r="D22" s="42"/>
      <x:c r="E22" s="44" t="str">
        <x:f>IF(D22="","",C22-D22)</x:f>
      </x:c>
      <x:c r="F22" s="45" t="str">
        <x:f>IF(OR(D22="",D22=0),"",E22/D22)</x:f>
      </x:c>
      <x:c r="G22" t="str">
        <x:v>Actual—pending reconciliation</x:v>
      </x:c>
      <x:c r="H22" t="str">
        <x:v>Inconsistent with balance-sheet cash of 1,200,000; do not use until reconciled</x:v>
      </x:c>
    </x:row>
    <x:row r="24">
      <x:c r="A24" s="31" t="str">
        <x:v>Financial Ratio</x:v>
      </x:c>
      <x:c r="B24" s="31" t="str">
        <x:v>Formula Basis</x:v>
      </x:c>
      <x:c r="C24" s="31" t="str">
        <x:v>Value</x:v>
      </x:c>
      <x:c r="D24" s="31" t="str">
        <x:v>Interpretation</x:v>
      </x:c>
    </x:row>
    <x:row r="25">
      <x:c r="A25" t="str">
        <x:v>Gross Margin</x:v>
      </x:c>
      <x:c r="B25" t="str">
        <x:v>Gross Profit / Revenue</x:v>
      </x:c>
      <x:c r="C25" s="40" t="n">
        <x:v>0.45</x:v>
      </x:c>
      <x:c r="D25" t="str">
        <x:v>Reported margin</x:v>
      </x:c>
    </x:row>
    <x:row r="26">
      <x:c r="A26" t="str">
        <x:v>Operating Margin</x:v>
      </x:c>
      <x:c r="B26" t="str">
        <x:v>Operating Profit / Revenue</x:v>
      </x:c>
      <x:c r="C26" s="40" t="n">
        <x:v>0.3125</x:v>
      </x:c>
      <x:c r="D26" t="str">
        <x:v>Reported operating profitability</x:v>
      </x:c>
    </x:row>
    <x:row r="27">
      <x:c r="A27" t="str">
        <x:v>Net Margin</x:v>
      </x:c>
      <x:c r="B27" t="str">
        <x:v>Net Profit / Revenue</x:v>
      </x:c>
      <x:c r="C27" s="40" t="n">
        <x:v>0.25</x:v>
      </x:c>
      <x:c r="D27" t="str">
        <x:v>Reported profitability</x:v>
      </x:c>
    </x:row>
    <x:row r="28">
      <x:c r="A28" t="str">
        <x:v>Current Ratio</x:v>
      </x:c>
      <x:c r="B28" t="str">
        <x:v>Current Assets / Current Liabilities</x:v>
      </x:c>
      <x:c r="C28" s="48" t="n">
        <x:v>2</x:v>
      </x:c>
      <x:c r="D28" t="str">
        <x:v>Based on available figures</x:v>
      </x:c>
    </x:row>
    <x:row r="29">
      <x:c r="A29" t="str">
        <x:v>Debt-to-Equity</x:v>
      </x:c>
      <x:c r="B29" t="str">
        <x:v>Liabilities / Equity</x:v>
      </x:c>
      <x:c r="C29" s="48" t="n">
        <x:v>2.3333333333</x:v>
      </x:c>
      <x:c r="D29" t="str">
        <x:v>High leverage requires monitoring</x:v>
      </x:c>
    </x:row>
    <x:row r="30">
      <x:c r="A30" t="str">
        <x:v>Liabilities-to-Assets</x:v>
      </x:c>
      <x:c r="B30" t="str">
        <x:v>Liabilities / Assets</x:v>
      </x:c>
      <x:c r="C30" s="40" t="n">
        <x:v>0.7</x:v>
      </x:c>
      <x:c r="D30" t="str">
        <x:v>70% of assets financed by liabilities</x:v>
      </x:c>
    </x:row>
    <x:row r="31">
      <x:c r="A31" t="str">
        <x:v>Return on Assets</x:v>
      </x:c>
      <x:c r="B31" t="str">
        <x:v>Net Profit / Assets</x:v>
      </x:c>
      <x:c r="C31" s="40" t="n">
        <x:v>0.2</x:v>
      </x:c>
      <x:c r="D31" t="str">
        <x:v>Reported return</x:v>
      </x:c>
    </x:row>
    <x:row r="32">
      <x:c r="A32" t="str">
        <x:v>Return on Equity</x:v>
      </x:c>
      <x:c r="B32" t="str">
        <x:v>Net Profit / Equity</x:v>
      </x:c>
      <x:c r="C32" s="40" t="n">
        <x:v>0.6666666667</x:v>
      </x:c>
      <x:c r="D32" t="str">
        <x:v>Check capital-base effect</x:v>
      </x:c>
    </x:row>
    <x:row r="33">
      <x:c r="A33" t="str">
        <x:v>Interest Coverage</x:v>
      </x:c>
      <x:c r="B33" t="str">
        <x:v>Operating Profit / Finance Cost</x:v>
      </x:c>
      <x:c r="C33" s="48" t="n">
        <x:v>7.8125</x:v>
      </x:c>
      <x:c r="D33" t="str">
        <x:v>Reported coverage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845f839343040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0" hidden="0" customWidth="1"/>
    <x:col min="4" max="4" width="16" hidden="0" customWidth="1"/>
    <x:col min="5" max="5" width="16" hidden="0" customWidth="1"/>
    <x:col min="6" max="6" width="24" hidden="0" customWidth="1"/>
    <x:col min="7" max="7" width="13" hidden="0" customWidth="1"/>
    <x:col min="8" max="8" width="13" hidden="0" customWidth="1"/>
    <x:col min="9" max="9" width="18" hidden="0" customWidth="1"/>
    <x:col min="10" max="10" width="12" hidden="0" customWidth="1"/>
    <x:col min="11" max="11" width="14" hidden="0" customWidth="1"/>
    <x:col min="12" max="12" width="22" hidden="0" customWidth="1"/>
  </x:cols>
  <x:sheetData>
    <x:row r="1" ht="28" customHeight="1">
      <x:c r="A1" s="5" t="str">
        <x:v>Strategic Objectives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2" t="str">
        <x:v>Five simulated pilot objectives for management validation. Replace or approve during the planning workshop.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8" customHeight="1">
      <x:c r="A4" s="20" t="str">
        <x:v>Objective ID</x:v>
      </x:c>
      <x:c r="B4" s="20" t="str">
        <x:v>Strategic Objective</x:v>
      </x:c>
      <x:c r="C4" s="20" t="str">
        <x:v>KPI</x:v>
      </x:c>
      <x:c r="D4" s="20" t="str">
        <x:v>Baseline</x:v>
      </x:c>
      <x:c r="E4" s="20" t="str">
        <x:v>2026 Target</x:v>
      </x:c>
      <x:c r="F4" s="20" t="str">
        <x:v>Owner</x:v>
      </x:c>
      <x:c r="G4" s="20" t="str">
        <x:v>Start Date</x:v>
      </x:c>
      <x:c r="H4" s="20" t="str">
        <x:v>Due Date</x:v>
      </x:c>
      <x:c r="I4" s="20" t="str">
        <x:v>Estimated Funding (XAF)</x:v>
      </x:c>
      <x:c r="J4" s="20" t="str">
        <x:v>Priority</x:v>
      </x:c>
      <x:c r="K4" s="20" t="str">
        <x:v>Status</x:v>
      </x:c>
      <x:c r="L4" s="20" t="str">
        <x:v>Data Classification</x:v>
      </x:c>
    </x:row>
    <x:row r="5">
      <x:c r="A5" t="str">
        <x:v>OBJ-01</x:v>
      </x:c>
      <x:c r="B5" t="str">
        <x:v>Improve revenue growth and customer conversion</x:v>
      </x:c>
      <x:c r="C5" t="str">
        <x:v>Annual revenue growth</x:v>
      </x:c>
      <x:c r="D5" s="38" t="n">
        <x:v>4000000</x:v>
      </x:c>
      <x:c r="E5" s="38" t="n">
        <x:v>4800000</x:v>
      </x:c>
      <x:c r="F5" t="str">
        <x:v>CEO/Managing Director</x:v>
      </x:c>
      <x:c r="G5" s="50" t="n">
        <x:v>46023</x:v>
      </x:c>
      <x:c r="H5" s="50" t="n">
        <x:v>46387</x:v>
      </x:c>
      <x:c r="I5" s="38" t="n">
        <x:v>450000</x:v>
      </x:c>
      <x:c r="J5" t="str">
        <x:v>High</x:v>
      </x:c>
      <x:c r="K5" t="str">
        <x:v>In Progress</x:v>
      </x:c>
      <x:c r="L5" t="str">
        <x:v>Simulated pilot data</x:v>
      </x:c>
    </x:row>
    <x:row r="6">
      <x:c r="A6" t="str">
        <x:v>OBJ-02</x:v>
      </x:c>
      <x:c r="B6" t="str">
        <x:v>Strengthen cash-flow resilience</x:v>
      </x:c>
      <x:c r="C6" t="str">
        <x:v>Minimum closing cash</x:v>
      </x:c>
      <x:c r="D6" s="38" t="n">
        <x:v>1200000</x:v>
      </x:c>
      <x:c r="E6" s="38" t="n">
        <x:v>1500000</x:v>
      </x:c>
      <x:c r="F6" t="str">
        <x:v>Finance Manager</x:v>
      </x:c>
      <x:c r="G6" s="50" t="n">
        <x:v>46023</x:v>
      </x:c>
      <x:c r="H6" s="50" t="n">
        <x:v>46387</x:v>
      </x:c>
      <x:c r="I6" s="38" t="n">
        <x:v>150000</x:v>
      </x:c>
      <x:c r="J6" t="str">
        <x:v>Critical</x:v>
      </x:c>
      <x:c r="K6" t="str">
        <x:v>In Progress</x:v>
      </x:c>
      <x:c r="L6" t="str">
        <x:v>Simulated pilot data</x:v>
      </x:c>
    </x:row>
    <x:row r="7">
      <x:c r="A7" t="str">
        <x:v>OBJ-03</x:v>
      </x:c>
      <x:c r="B7" t="str">
        <x:v>Improve financial information quality</x:v>
      </x:c>
      <x:c r="C7" t="str">
        <x:v>Validated reports submitted on time</x:v>
      </x:c>
      <x:c r="D7" s="40" t="n">
        <x:v>0.7</x:v>
      </x:c>
      <x:c r="E7" s="40" t="n">
        <x:v>0.95</x:v>
      </x:c>
      <x:c r="F7" t="str">
        <x:v>Finance Manager</x:v>
      </x:c>
      <x:c r="G7" s="50" t="n">
        <x:v>46023</x:v>
      </x:c>
      <x:c r="H7" s="50" t="n">
        <x:v>46295</x:v>
      </x:c>
      <x:c r="I7" s="38" t="n">
        <x:v>250000</x:v>
      </x:c>
      <x:c r="J7" t="str">
        <x:v>High</x:v>
      </x:c>
      <x:c r="K7" t="str">
        <x:v>Planned</x:v>
      </x:c>
      <x:c r="L7" t="str">
        <x:v>Simulated pilot data</x:v>
      </x:c>
    </x:row>
    <x:row r="8">
      <x:c r="A8" t="str">
        <x:v>OBJ-04</x:v>
      </x:c>
      <x:c r="B8" t="str">
        <x:v>Formalize financial risk management</x:v>
      </x:c>
      <x:c r="C8" t="str">
        <x:v>High risks with approved mitigation</x:v>
      </x:c>
      <x:c r="D8" s="40" t="n">
        <x:v>0.35</x:v>
      </x:c>
      <x:c r="E8" s="40" t="n">
        <x:v>0.9</x:v>
      </x:c>
      <x:c r="F8" t="str">
        <x:v>Risk/Internal Control Officer</x:v>
      </x:c>
      <x:c r="G8" s="50" t="n">
        <x:v>46023</x:v>
      </x:c>
      <x:c r="H8" s="50" t="n">
        <x:v>46326</x:v>
      </x:c>
      <x:c r="I8" s="38" t="n">
        <x:v>200000</x:v>
      </x:c>
      <x:c r="J8" t="str">
        <x:v>High</x:v>
      </x:c>
      <x:c r="K8" t="str">
        <x:v>Planned</x:v>
      </x:c>
      <x:c r="L8" t="str">
        <x:v>Simulated pilot data</x:v>
      </x:c>
    </x:row>
    <x:row r="9">
      <x:c r="A9" t="str">
        <x:v>OBJ-05</x:v>
      </x:c>
      <x:c r="B9" t="str">
        <x:v>Improve stakeholder and resource readiness</x:v>
      </x:c>
      <x:c r="C9" t="str">
        <x:v>Priority initiatives fully resourced</x:v>
      </x:c>
      <x:c r="D9" s="40" t="n">
        <x:v>0.5</x:v>
      </x:c>
      <x:c r="E9" s="40" t="n">
        <x:v>0.85</x:v>
      </x:c>
      <x:c r="F9" t="str">
        <x:v>SFPMS Process Owner</x:v>
      </x:c>
      <x:c r="G9" s="50" t="n">
        <x:v>46023</x:v>
      </x:c>
      <x:c r="H9" s="50" t="n">
        <x:v>46387</x:v>
      </x:c>
      <x:c r="I9" s="38" t="n">
        <x:v>350000</x:v>
      </x:c>
      <x:c r="J9" t="str">
        <x:v>Medium</x:v>
      </x:c>
      <x:c r="K9" t="str">
        <x:v>Planned</x:v>
      </x:c>
      <x:c r="L9" t="str">
        <x:v>Simulated pilot data</x:v>
      </x:c>
    </x:row>
  </x:sheetData>
  <x:mergeCells>
    <x:mergeCell ref="A1:L1"/>
    <x:mergeCell ref="A2:L2"/>
  </x:mergeCells>
  <x:dataValidations count="2">
    <x:dataValidation type="list" sqref="J5:J50">
      <x:formula1>"Critical,High,Medium,Low"</x:formula1>
    </x:dataValidation>
    <x:dataValidation type="list" sqref="K5:K50">
      <x:formula1>"Not Started,Planned,In Progress,At Risk,Complete,Deferred"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3f4d1c453741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20" hidden="0" customWidth="1"/>
    <x:col min="5" max="5" width="22" hidden="0" customWidth="1"/>
    <x:col min="6" max="6" width="36" hidden="0" customWidth="1"/>
    <x:col min="7" max="7" width="24" hidden="0" customWidth="1"/>
    <x:col min="8" max="8" width="18" hidden="0" customWidth="1"/>
    <x:col min="9" max="9" width="20" hidden="0" customWidth="1"/>
    <x:col min="10" max="10" width="24" hidden="0" customWidth="1"/>
  </x:cols>
  <x:sheetData>
    <x:row r="1" ht="28" customHeight="1">
      <x:c r="A1" s="5" t="str">
        <x:v>Scenario Assumptions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12" t="str">
        <x:v>Simulated assumptions for the SFPMS toggle. Management must validate and approve before decisions.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 ht="28" customHeight="1">
      <x:c r="A4" s="20" t="str">
        <x:v>Assumption</x:v>
      </x:c>
      <x:c r="B4" s="20" t="str">
        <x:v>Unit</x:v>
      </x:c>
      <x:c r="C4" s="20" t="str">
        <x:v>Optimistic Scenario</x:v>
      </x:c>
      <x:c r="D4" s="20" t="str">
        <x:v>Main Scenario</x:v>
      </x:c>
      <x:c r="E4" s="20" t="str">
        <x:v>Pessimistic Scenario</x:v>
      </x:c>
      <x:c r="F4" s="20" t="str">
        <x:v>Rationale</x:v>
      </x:c>
      <x:c r="G4" s="20" t="str">
        <x:v>Owner</x:v>
      </x:c>
      <x:c r="H4" s="20" t="str">
        <x:v>Approval Status</x:v>
      </x:c>
      <x:c r="I4" s="20" t="str">
        <x:v>Data Classification</x:v>
      </x:c>
      <x:c r="J4" s="20" t="str">
        <x:v>Source</x:v>
      </x:c>
    </x:row>
    <x:row r="5">
      <x:c r="A5" t="str">
        <x:v>Revenue</x:v>
      </x:c>
      <x:c r="B5" t="str">
        <x:v>XAF</x:v>
      </x:c>
      <x:c r="C5" s="42" t="n">
        <x:v>4800000</x:v>
      </x:c>
      <x:c r="D5" s="42" t="n">
        <x:v>4200000</x:v>
      </x:c>
      <x:c r="E5" s="42" t="n">
        <x:v>3400000</x:v>
      </x:c>
      <x:c r="F5" t="str">
        <x:v>Growth and conversion assumptions</x:v>
      </x:c>
      <x:c r="G5" t="str">
        <x:v>Finance Manager</x:v>
      </x:c>
      <x:c r="H5" t="str">
        <x:v>Pending Approval</x:v>
      </x:c>
      <x:c r="I5" t="str">
        <x:v>Scenario assumption</x:v>
      </x:c>
      <x:c r="J5" t="str">
        <x:v>Pilot design based on 2024 revenue</x:v>
      </x:c>
    </x:row>
    <x:row r="6">
      <x:c r="A6" t="str">
        <x:v>Operating Cost</x:v>
      </x:c>
      <x:c r="B6" t="str">
        <x:v>XAF</x:v>
      </x:c>
      <x:c r="C6" s="42" t="n">
        <x:v>2450000</x:v>
      </x:c>
      <x:c r="D6" s="42" t="n">
        <x:v>2600000</x:v>
      </x:c>
      <x:c r="E6" s="42" t="n">
        <x:v>2850000</x:v>
      </x:c>
      <x:c r="F6" t="str">
        <x:v>Cost control and inflation range</x:v>
      </x:c>
      <x:c r="G6" t="str">
        <x:v>Finance Manager</x:v>
      </x:c>
      <x:c r="H6" t="str">
        <x:v>Pending Approval</x:v>
      </x:c>
      <x:c r="I6" t="str">
        <x:v>Scenario assumption</x:v>
      </x:c>
      <x:c r="J6" t="str">
        <x:v>Pilot design</x:v>
      </x:c>
    </x:row>
    <x:row r="7">
      <x:c r="A7" t="str">
        <x:v>Net Cash Flow</x:v>
      </x:c>
      <x:c r="B7" t="str">
        <x:v>XAF</x:v>
      </x:c>
      <x:c r="C7" s="42" t="n">
        <x:v>1100000</x:v>
      </x:c>
      <x:c r="D7" s="42" t="n">
        <x:v>650000</x:v>
      </x:c>
      <x:c r="E7" s="42" t="n">
        <x:v>-250000</x:v>
      </x:c>
      <x:c r="F7" t="str">
        <x:v>Expected inflow/outflow timing</x:v>
      </x:c>
      <x:c r="G7" t="str">
        <x:v>Finance Manager</x:v>
      </x:c>
      <x:c r="H7" t="str">
        <x:v>Pending Approval</x:v>
      </x:c>
      <x:c r="I7" t="str">
        <x:v>Scenario assumption</x:v>
      </x:c>
      <x:c r="J7" t="str">
        <x:v>Pilot design</x:v>
      </x:c>
    </x:row>
    <x:row r="8">
      <x:c r="A8" t="str">
        <x:v>Financing Need</x:v>
      </x:c>
      <x:c r="B8" t="str">
        <x:v>XAF</x:v>
      </x:c>
      <x:c r="C8" s="42" t="n">
        <x:v>0</x:v>
      </x:c>
      <x:c r="D8" s="42" t="n">
        <x:v>300000</x:v>
      </x:c>
      <x:c r="E8" s="42" t="n">
        <x:v>1200000</x:v>
      </x:c>
      <x:c r="F8" t="str">
        <x:v>Liquidity gap under each case</x:v>
      </x:c>
      <x:c r="G8" t="str">
        <x:v>CEO/Managing Director</x:v>
      </x:c>
      <x:c r="H8" t="str">
        <x:v>Pending Approval</x:v>
      </x:c>
      <x:c r="I8" t="str">
        <x:v>Scenario assumption</x:v>
      </x:c>
      <x:c r="J8" t="str">
        <x:v>Pilot design</x:v>
      </x:c>
    </x:row>
    <x:row r="9">
      <x:c r="A9" t="str">
        <x:v>Closing Cash</x:v>
      </x:c>
      <x:c r="B9" t="str">
        <x:v>XAF</x:v>
      </x:c>
      <x:c r="C9" s="42" t="n">
        <x:v>1700000</x:v>
      </x:c>
      <x:c r="D9" s="42" t="n">
        <x:v>1200000</x:v>
      </x:c>
      <x:c r="E9" s="42" t="n">
        <x:v>500000</x:v>
      </x:c>
      <x:c r="F9" t="str">
        <x:v>Cash reserve outcome</x:v>
      </x:c>
      <x:c r="G9" t="str">
        <x:v>Finance Manager</x:v>
      </x:c>
      <x:c r="H9" t="str">
        <x:v>Pending Approval</x:v>
      </x:c>
      <x:c r="I9" t="str">
        <x:v>Scenario assumption</x:v>
      </x:c>
      <x:c r="J9" t="str">
        <x:v>Pilot design</x:v>
      </x:c>
    </x:row>
    <x:row r="10">
      <x:c r="A10" t="str">
        <x:v>Risk Exposure Index</x:v>
      </x:c>
      <x:c r="B10" t="str">
        <x:v>Index 1-25</x:v>
      </x:c>
      <x:c r="C10" s="52" t="n">
        <x:v>7</x:v>
      </x:c>
      <x:c r="D10" s="52" t="n">
        <x:v>11</x:v>
      </x:c>
      <x:c r="E10" s="52" t="n">
        <x:v>17</x:v>
      </x:c>
      <x:c r="F10" t="str">
        <x:v>Aggregate scenario risk indicator</x:v>
      </x:c>
      <x:c r="G10" t="str">
        <x:v>Risk/Internal Control Officer</x:v>
      </x:c>
      <x:c r="H10" t="str">
        <x:v>Pending Approval</x:v>
      </x:c>
      <x:c r="I10" t="str">
        <x:v>Scenario assumption</x:v>
      </x:c>
      <x:c r="J10" t="str">
        <x:v>Pilot design</x:v>
      </x:c>
    </x:row>
    <x:row r="11">
      <x:c r="A11" t="str">
        <x:v>Forecast Accuracy</x:v>
      </x:c>
      <x:c r="B11" t="str">
        <x:v>Percent</x:v>
      </x:c>
      <x:c r="C11" s="53" t="n">
        <x:v>0.86</x:v>
      </x:c>
      <x:c r="D11" s="53" t="n">
        <x:v>0.78</x:v>
      </x:c>
      <x:c r="E11" s="53" t="n">
        <x:v>0.64</x:v>
      </x:c>
      <x:c r="F11" t="str">
        <x:v>Expected planning reliability</x:v>
      </x:c>
      <x:c r="G11" t="str">
        <x:v>Finance Manager</x:v>
      </x:c>
      <x:c r="H11" t="str">
        <x:v>Pending Approval</x:v>
      </x:c>
      <x:c r="I11" t="str">
        <x:v>Scenario assumption</x:v>
      </x:c>
      <x:c r="J11" t="str">
        <x:v>Pilot design</x:v>
      </x:c>
    </x:row>
    <x:row r="12">
      <x:c r="A12" t="str">
        <x:v>Budget Variance</x:v>
      </x:c>
      <x:c r="B12" t="str">
        <x:v>Percent</x:v>
      </x:c>
      <x:c r="C12" s="53" t="n">
        <x:v>-0.021</x:v>
      </x:c>
      <x:c r="D12" s="53" t="n">
        <x:v>-0.0642</x:v>
      </x:c>
      <x:c r="E12" s="53" t="n">
        <x:v>0.0875</x:v>
      </x:c>
      <x:c r="F12" t="str">
        <x:v>Expected actual-to-budget variance</x:v>
      </x:c>
      <x:c r="G12" t="str">
        <x:v>Finance Manager</x:v>
      </x:c>
      <x:c r="H12" t="str">
        <x:v>Pending Approval</x:v>
      </x:c>
      <x:c r="I12" t="str">
        <x:v>Scenario assumption</x:v>
      </x:c>
      <x:c r="J12" t="str">
        <x:v>Pilot design</x:v>
      </x:c>
    </x:row>
    <x:row r="13">
      <x:c r="A13" t="str">
        <x:v>Resource Requirement Multiplier</x:v>
      </x:c>
      <x:c r="B13" t="str">
        <x:v>Multiplier</x:v>
      </x:c>
      <x:c r="C13" s="54" t="n">
        <x:v>0.95</x:v>
      </x:c>
      <x:c r="D13" s="54" t="n">
        <x:v>1</x:v>
      </x:c>
      <x:c r="E13" s="54" t="n">
        <x:v>1.15</x:v>
      </x:c>
      <x:c r="F13" t="str">
        <x:v>Resource pressure adjustment</x:v>
      </x:c>
      <x:c r="G13" t="str">
        <x:v>SFPMS Process Owner</x:v>
      </x:c>
      <x:c r="H13" t="str">
        <x:v>Pending Approval</x:v>
      </x:c>
      <x:c r="I13" t="str">
        <x:v>Scenario assumption</x:v>
      </x:c>
      <x:c r="J13" t="str">
        <x:v>Pilot design</x:v>
      </x:c>
    </x:row>
  </x:sheetData>
  <x:mergeCells>
    <x:mergeCell ref="A1:J1"/>
    <x:mergeCell ref="A2:J2"/>
  </x:mergeCells>
  <x:dataValidations count="1">
    <x:dataValidation type="list" sqref="H5:H50">
      <x:formula1>"Pending Approval,Approved,Rejected,Needs Revision"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1b9e4e09504e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3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22" hidden="0" customWidth="1"/>
    <x:col min="12" max="12" width="14" hidden="0" customWidth="1"/>
    <x:col min="13" max="13" width="20" hidden="0" customWidth="1"/>
    <x:col min="14" max="14" width="20" hidden="0" customWidth="1"/>
  </x:cols>
  <x:sheetData>
    <x:row r="1" ht="28" customHeight="1">
      <x:c r="A1" s="5" t="str">
        <x:v>Monthly Budget and Actuals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2" t="str">
        <x:v>Simulated 12-month departmental budget for app testing. Not actual BIH transactions.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28" customHeight="1">
      <x:c r="A4" s="20" t="str">
        <x:v>Budget ID</x:v>
      </x:c>
      <x:c r="B4" s="20" t="str">
        <x:v>Department</x:v>
      </x:c>
      <x:c r="C4" s="20" t="str">
        <x:v>Category</x:v>
      </x:c>
      <x:c r="D4" s="20" t="str">
        <x:v>Month</x:v>
      </x:c>
      <x:c r="E4" s="20" t="str">
        <x:v>Approved Budget (XAF)</x:v>
      </x:c>
      <x:c r="F4" s="20" t="str">
        <x:v>Actual (XAF)</x:v>
      </x:c>
      <x:c r="G4" s="20" t="str">
        <x:v>Committed (XAF)</x:v>
      </x:c>
      <x:c r="H4" s="20" t="str">
        <x:v>Remaining (XAF)</x:v>
      </x:c>
      <x:c r="I4" s="20" t="str">
        <x:v>Variance (XAF)</x:v>
      </x:c>
      <x:c r="J4" s="20" t="str">
        <x:v>Variance (%)</x:v>
      </x:c>
      <x:c r="K4" s="20" t="str">
        <x:v>Budget Owner</x:v>
      </x:c>
      <x:c r="L4" s="20" t="str">
        <x:v>Status</x:v>
      </x:c>
      <x:c r="M4" s="20" t="str">
        <x:v>Scenario</x:v>
      </x:c>
      <x:c r="N4" s="20" t="str">
        <x:v>Data Classification</x:v>
      </x:c>
    </x:row>
    <x:row r="5">
      <x:c r="A5" t="str">
        <x:v>BUD-FIN-01</x:v>
      </x:c>
      <x:c r="B5" t="str">
        <x:v>Finance</x:v>
      </x:c>
      <x:c r="C5" t="str">
        <x:v>Administration</x:v>
      </x:c>
      <x:c r="D5" s="58" t="n">
        <x:v>46023</x:v>
      </x:c>
      <x:c r="E5" s="42" t="n">
        <x:v>84000</x:v>
      </x:c>
      <x:c r="F5" s="42" t="n">
        <x:v>79800</x:v>
      </x:c>
      <x:c r="G5" s="42" t="n">
        <x:v>2520</x:v>
      </x:c>
      <x:c r="H5" s="38" t="n">
        <x:f>E5-F5-G5</x:f>
        <x:v>1680</x:v>
      </x:c>
      <x:c r="I5" s="38" t="n">
        <x:f>F5-E5</x:f>
        <x:v>-4200</x:v>
      </x:c>
      <x:c r="J5" s="40" t="n">
        <x:f>IF(E5=0,"",I5/E5)</x:f>
        <x:v>-0.05</x:v>
      </x:c>
      <x:c r="K5" t="str">
        <x:v>Finance Manager</x:v>
      </x:c>
      <x:c r="L5" t="str">
        <x:v>Open</x:v>
      </x:c>
      <x:c r="M5" t="str">
        <x:v>Main Scenario</x:v>
      </x:c>
      <x:c r="N5" t="str">
        <x:v>Simulated pilot data</x:v>
      </x:c>
    </x:row>
    <x:row r="6">
      <x:c r="A6" t="str">
        <x:v>BUD-FIN-02</x:v>
      </x:c>
      <x:c r="B6" t="str">
        <x:v>Finance</x:v>
      </x:c>
      <x:c r="C6" t="str">
        <x:v>Administration</x:v>
      </x:c>
      <x:c r="D6" s="58" t="n">
        <x:v>46054</x:v>
      </x:c>
      <x:c r="E6" s="42" t="n">
        <x:v>84000</x:v>
      </x:c>
      <x:c r="F6" s="42" t="n">
        <x:v>85680</x:v>
      </x:c>
      <x:c r="G6" s="42" t="n">
        <x:v>2520</x:v>
      </x:c>
      <x:c r="H6" s="38" t="n">
        <x:f>E6-F6-G6</x:f>
        <x:v>-4200</x:v>
      </x:c>
      <x:c r="I6" s="38" t="n">
        <x:f>F6-E6</x:f>
        <x:v>1680</x:v>
      </x:c>
      <x:c r="J6" s="40" t="n">
        <x:f>IF(E6=0,"",I6/E6)</x:f>
        <x:v>0.02</x:v>
      </x:c>
      <x:c r="K6" t="str">
        <x:v>Finance Manager</x:v>
      </x:c>
      <x:c r="L6" t="str">
        <x:v>Open</x:v>
      </x:c>
      <x:c r="M6" t="str">
        <x:v>Main Scenario</x:v>
      </x:c>
      <x:c r="N6" t="str">
        <x:v>Simulated pilot data</x:v>
      </x:c>
    </x:row>
    <x:row r="7">
      <x:c r="A7" t="str">
        <x:v>BUD-FIN-03</x:v>
      </x:c>
      <x:c r="B7" t="str">
        <x:v>Finance</x:v>
      </x:c>
      <x:c r="C7" t="str">
        <x:v>Administration</x:v>
      </x:c>
      <x:c r="D7" s="58" t="n">
        <x:v>46082</x:v>
      </x:c>
      <x:c r="E7" s="42" t="n">
        <x:v>96000</x:v>
      </x:c>
      <x:c r="F7" s="42" t="n">
        <x:v>94080</x:v>
      </x:c>
      <x:c r="G7" s="42" t="n">
        <x:v>2880</x:v>
      </x:c>
      <x:c r="H7" s="38" t="n">
        <x:f>E7-F7-G7</x:f>
        <x:v>-960</x:v>
      </x:c>
      <x:c r="I7" s="38" t="n">
        <x:f>F7-E7</x:f>
        <x:v>-1920</x:v>
      </x:c>
      <x:c r="J7" s="40" t="n">
        <x:f>IF(E7=0,"",I7/E7)</x:f>
        <x:v>-0.02</x:v>
      </x:c>
      <x:c r="K7" t="str">
        <x:v>Finance Manager</x:v>
      </x:c>
      <x:c r="L7" t="str">
        <x:v>Open</x:v>
      </x:c>
      <x:c r="M7" t="str">
        <x:v>Main Scenario</x:v>
      </x:c>
      <x:c r="N7" t="str">
        <x:v>Simulated pilot data</x:v>
      </x:c>
    </x:row>
    <x:row r="8">
      <x:c r="A8" t="str">
        <x:v>BUD-FIN-04</x:v>
      </x:c>
      <x:c r="B8" t="str">
        <x:v>Finance</x:v>
      </x:c>
      <x:c r="C8" t="str">
        <x:v>Administration</x:v>
      </x:c>
      <x:c r="D8" s="58" t="n">
        <x:v>46113</x:v>
      </x:c>
      <x:c r="E8" s="42" t="n">
        <x:v>96000</x:v>
      </x:c>
      <x:c r="F8" s="42" t="n">
        <x:v>99840</x:v>
      </x:c>
      <x:c r="G8" s="42" t="n">
        <x:v>2880</x:v>
      </x:c>
      <x:c r="H8" s="38" t="n">
        <x:f>E8-F8-G8</x:f>
        <x:v>-6720</x:v>
      </x:c>
      <x:c r="I8" s="38" t="n">
        <x:f>F8-E8</x:f>
        <x:v>3840</x:v>
      </x:c>
      <x:c r="J8" s="40" t="n">
        <x:f>IF(E8=0,"",I8/E8)</x:f>
        <x:v>0.04</x:v>
      </x:c>
      <x:c r="K8" t="str">
        <x:v>Finance Manager</x:v>
      </x:c>
      <x:c r="L8" t="str">
        <x:v>Open</x:v>
      </x:c>
      <x:c r="M8" t="str">
        <x:v>Main Scenario</x:v>
      </x:c>
      <x:c r="N8" t="str">
        <x:v>Simulated pilot data</x:v>
      </x:c>
    </x:row>
    <x:row r="9">
      <x:c r="A9" t="str">
        <x:v>BUD-FIN-05</x:v>
      </x:c>
      <x:c r="B9" t="str">
        <x:v>Finance</x:v>
      </x:c>
      <x:c r="C9" t="str">
        <x:v>Administration</x:v>
      </x:c>
      <x:c r="D9" s="58" t="n">
        <x:v>46143</x:v>
      </x:c>
      <x:c r="E9" s="42" t="n">
        <x:v>96000</x:v>
      </x:c>
      <x:c r="F9" s="42" t="n">
        <x:v>93120</x:v>
      </x:c>
      <x:c r="G9" s="42" t="n">
        <x:v>2880</x:v>
      </x:c>
      <x:c r="H9" s="38" t="n">
        <x:f>E9-F9-G9</x:f>
        <x:v>0</x:v>
      </x:c>
      <x:c r="I9" s="38" t="n">
        <x:f>F9-E9</x:f>
        <x:v>-2880</x:v>
      </x:c>
      <x:c r="J9" s="40" t="n">
        <x:f>IF(E9=0,"",I9/E9)</x:f>
        <x:v>-0.03</x:v>
      </x:c>
      <x:c r="K9" t="str">
        <x:v>Finance Manager</x:v>
      </x:c>
      <x:c r="L9" t="str">
        <x:v>Open</x:v>
      </x:c>
      <x:c r="M9" t="str">
        <x:v>Main Scenario</x:v>
      </x:c>
      <x:c r="N9" t="str">
        <x:v>Simulated pilot data</x:v>
      </x:c>
    </x:row>
    <x:row r="10">
      <x:c r="A10" t="str">
        <x:v>BUD-FIN-06</x:v>
      </x:c>
      <x:c r="B10" t="str">
        <x:v>Finance</x:v>
      </x:c>
      <x:c r="C10" t="str">
        <x:v>Administration</x:v>
      </x:c>
      <x:c r="D10" s="58" t="n">
        <x:v>46174</x:v>
      </x:c>
      <x:c r="E10" s="42" t="n">
        <x:v>96000</x:v>
      </x:c>
      <x:c r="F10" s="42" t="n">
        <x:v>96960</x:v>
      </x:c>
      <x:c r="G10" s="42" t="n">
        <x:v>2880</x:v>
      </x:c>
      <x:c r="H10" s="38" t="n">
        <x:f>E10-F10-G10</x:f>
        <x:v>-3840</x:v>
      </x:c>
      <x:c r="I10" s="38" t="n">
        <x:f>F10-E10</x:f>
        <x:v>960</x:v>
      </x:c>
      <x:c r="J10" s="40" t="n">
        <x:f>IF(E10=0,"",I10/E10)</x:f>
        <x:v>0.01</x:v>
      </x:c>
      <x:c r="K10" t="str">
        <x:v>Finance Manager</x:v>
      </x:c>
      <x:c r="L10" t="str">
        <x:v>Open</x:v>
      </x:c>
      <x:c r="M10" t="str">
        <x:v>Main Scenario</x:v>
      </x:c>
      <x:c r="N10" t="str">
        <x:v>Simulated pilot data</x:v>
      </x:c>
    </x:row>
    <x:row r="11">
      <x:c r="A11" t="str">
        <x:v>BUD-FIN-07</x:v>
      </x:c>
      <x:c r="B11" t="str">
        <x:v>Finance</x:v>
      </x:c>
      <x:c r="C11" t="str">
        <x:v>Administration</x:v>
      </x:c>
      <x:c r="D11" s="58" t="n">
        <x:v>46204</x:v>
      </x:c>
      <x:c r="E11" s="42" t="n">
        <x:v>108000</x:v>
      </x:c>
      <x:c r="F11" s="42" t="n">
        <x:v>114480</x:v>
      </x:c>
      <x:c r="G11" s="42" t="n">
        <x:v>3240</x:v>
      </x:c>
      <x:c r="H11" s="38" t="n">
        <x:f>E11-F11-G11</x:f>
        <x:v>-9720</x:v>
      </x:c>
      <x:c r="I11" s="38" t="n">
        <x:f>F11-E11</x:f>
        <x:v>6480</x:v>
      </x:c>
      <x:c r="J11" s="40" t="n">
        <x:f>IF(E11=0,"",I11/E11)</x:f>
        <x:v>0.06</x:v>
      </x:c>
      <x:c r="K11" t="str">
        <x:v>Finance Manager</x:v>
      </x:c>
      <x:c r="L11" t="str">
        <x:v>Open</x:v>
      </x:c>
      <x:c r="M11" t="str">
        <x:v>Main Scenario</x:v>
      </x:c>
      <x:c r="N11" t="str">
        <x:v>Simulated pilot data</x:v>
      </x:c>
    </x:row>
    <x:row r="12">
      <x:c r="A12" t="str">
        <x:v>BUD-FIN-08</x:v>
      </x:c>
      <x:c r="B12" t="str">
        <x:v>Finance</x:v>
      </x:c>
      <x:c r="C12" t="str">
        <x:v>Administration</x:v>
      </x:c>
      <x:c r="D12" s="58" t="n">
        <x:v>46235</x:v>
      </x:c>
      <x:c r="E12" s="42" t="n">
        <x:v>108000</x:v>
      </x:c>
      <x:c r="F12" s="42" t="n">
        <x:v>106920</x:v>
      </x:c>
      <x:c r="G12" s="42" t="n">
        <x:v>3240</x:v>
      </x:c>
      <x:c r="H12" s="38" t="n">
        <x:f>E12-F12-G12</x:f>
        <x:v>-2160</x:v>
      </x:c>
      <x:c r="I12" s="38" t="n">
        <x:f>F12-E12</x:f>
        <x:v>-1080</x:v>
      </x:c>
      <x:c r="J12" s="40" t="n">
        <x:f>IF(E12=0,"",I12/E12)</x:f>
        <x:v>-0.01</x:v>
      </x:c>
      <x:c r="K12" t="str">
        <x:v>Finance Manager</x:v>
      </x:c>
      <x:c r="L12" t="str">
        <x:v>Open</x:v>
      </x:c>
      <x:c r="M12" t="str">
        <x:v>Main Scenario</x:v>
      </x:c>
      <x:c r="N12" t="str">
        <x:v>Simulated pilot data</x:v>
      </x:c>
    </x:row>
    <x:row r="13">
      <x:c r="A13" t="str">
        <x:v>BUD-FIN-09</x:v>
      </x:c>
      <x:c r="B13" t="str">
        <x:v>Finance</x:v>
      </x:c>
      <x:c r="C13" t="str">
        <x:v>Administration</x:v>
      </x:c>
      <x:c r="D13" s="58" t="n">
        <x:v>46266</x:v>
      </x:c>
      <x:c r="E13" s="42" t="n">
        <x:v>108000</x:v>
      </x:c>
      <x:c r="F13" s="42" t="n">
        <x:v>111240</x:v>
      </x:c>
      <x:c r="G13" s="42" t="n">
        <x:v>6480</x:v>
      </x:c>
      <x:c r="H13" s="38" t="n">
        <x:f>E13-F13-G13</x:f>
        <x:v>-9720</x:v>
      </x:c>
      <x:c r="I13" s="38" t="n">
        <x:f>F13-E13</x:f>
        <x:v>3240</x:v>
      </x:c>
      <x:c r="J13" s="40" t="n">
        <x:f>IF(E13=0,"",I13/E13)</x:f>
        <x:v>0.03</x:v>
      </x:c>
      <x:c r="K13" t="str">
        <x:v>Finance Manager</x:v>
      </x:c>
      <x:c r="L13" t="str">
        <x:v>Open</x:v>
      </x:c>
      <x:c r="M13" t="str">
        <x:v>Main Scenario</x:v>
      </x:c>
      <x:c r="N13" t="str">
        <x:v>Simulated pilot data</x:v>
      </x:c>
    </x:row>
    <x:row r="14">
      <x:c r="A14" t="str">
        <x:v>BUD-FIN-10</x:v>
      </x:c>
      <x:c r="B14" t="str">
        <x:v>Finance</x:v>
      </x:c>
      <x:c r="C14" t="str">
        <x:v>Administration</x:v>
      </x:c>
      <x:c r="D14" s="58" t="n">
        <x:v>46296</x:v>
      </x:c>
      <x:c r="E14" s="42" t="n">
        <x:v>108000</x:v>
      </x:c>
      <x:c r="F14" s="42" t="n">
        <x:v>103680</x:v>
      </x:c>
      <x:c r="G14" s="42" t="n">
        <x:v>6480</x:v>
      </x:c>
      <x:c r="H14" s="38" t="n">
        <x:f>E14-F14-G14</x:f>
        <x:v>-2160</x:v>
      </x:c>
      <x:c r="I14" s="38" t="n">
        <x:f>F14-E14</x:f>
        <x:v>-4320</x:v>
      </x:c>
      <x:c r="J14" s="40" t="n">
        <x:f>IF(E14=0,"",I14/E14)</x:f>
        <x:v>-0.04</x:v>
      </x:c>
      <x:c r="K14" t="str">
        <x:v>Finance Manager</x:v>
      </x:c>
      <x:c r="L14" t="str">
        <x:v>Open</x:v>
      </x:c>
      <x:c r="M14" t="str">
        <x:v>Main Scenario</x:v>
      </x:c>
      <x:c r="N14" t="str">
        <x:v>Simulated pilot data</x:v>
      </x:c>
    </x:row>
    <x:row r="15">
      <x:c r="A15" t="str">
        <x:v>BUD-FIN-11</x:v>
      </x:c>
      <x:c r="B15" t="str">
        <x:v>Finance</x:v>
      </x:c>
      <x:c r="C15" t="str">
        <x:v>Administration</x:v>
      </x:c>
      <x:c r="D15" s="58" t="n">
        <x:v>46327</x:v>
      </x:c>
      <x:c r="E15" s="42" t="n">
        <x:v>108000</x:v>
      </x:c>
      <x:c r="F15" s="42" t="n">
        <x:v>108000</x:v>
      </x:c>
      <x:c r="G15" s="42" t="n">
        <x:v>6480</x:v>
      </x:c>
      <x:c r="H15" s="38" t="n">
        <x:f>E15-F15-G15</x:f>
        <x:v>-6480</x:v>
      </x:c>
      <x:c r="I15" s="38" t="n">
        <x:f>F15-E15</x:f>
        <x:v>0</x:v>
      </x:c>
      <x:c r="J15" s="40" t="n">
        <x:f>IF(E15=0,"",I15/E15)</x:f>
        <x:v>0</x:v>
      </x:c>
      <x:c r="K15" t="str">
        <x:v>Finance Manager</x:v>
      </x:c>
      <x:c r="L15" t="str">
        <x:v>Open</x:v>
      </x:c>
      <x:c r="M15" t="str">
        <x:v>Main Scenario</x:v>
      </x:c>
      <x:c r="N15" t="str">
        <x:v>Simulated pilot data</x:v>
      </x:c>
    </x:row>
    <x:row r="16">
      <x:c r="A16" t="str">
        <x:v>BUD-FIN-12</x:v>
      </x:c>
      <x:c r="B16" t="str">
        <x:v>Finance</x:v>
      </x:c>
      <x:c r="C16" t="str">
        <x:v>Administration</x:v>
      </x:c>
      <x:c r="D16" s="58" t="n">
        <x:v>46357</x:v>
      </x:c>
      <x:c r="E16" s="42" t="n">
        <x:v>108000</x:v>
      </x:c>
      <x:c r="F16" s="42" t="n">
        <x:v>110160</x:v>
      </x:c>
      <x:c r="G16" s="42" t="n">
        <x:v>6480</x:v>
      </x:c>
      <x:c r="H16" s="38" t="n">
        <x:f>E16-F16-G16</x:f>
        <x:v>-8640</x:v>
      </x:c>
      <x:c r="I16" s="38" t="n">
        <x:f>F16-E16</x:f>
        <x:v>2160</x:v>
      </x:c>
      <x:c r="J16" s="40" t="n">
        <x:f>IF(E16=0,"",I16/E16)</x:f>
        <x:v>0.02</x:v>
      </x:c>
      <x:c r="K16" t="str">
        <x:v>Finance Manager</x:v>
      </x:c>
      <x:c r="L16" t="str">
        <x:v>Open</x:v>
      </x:c>
      <x:c r="M16" t="str">
        <x:v>Main Scenario</x:v>
      </x:c>
      <x:c r="N16" t="str">
        <x:v>Simulated pilot data</x:v>
      </x:c>
    </x:row>
    <x:row r="17">
      <x:c r="A17" t="str">
        <x:v>BUD-OPE-01</x:v>
      </x:c>
      <x:c r="B17" t="str">
        <x:v>Operations</x:v>
      </x:c>
      <x:c r="C17" t="str">
        <x:v>Service Delivery</x:v>
      </x:c>
      <x:c r="D17" s="58" t="n">
        <x:v>46023</x:v>
      </x:c>
      <x:c r="E17" s="42" t="n">
        <x:v>126000</x:v>
      </x:c>
      <x:c r="F17" s="42" t="n">
        <x:v>119700</x:v>
      </x:c>
      <x:c r="G17" s="42" t="n">
        <x:v>3780</x:v>
      </x:c>
      <x:c r="H17" s="38" t="n">
        <x:f>E17-F17-G17</x:f>
        <x:v>2520</x:v>
      </x:c>
      <x:c r="I17" s="38" t="n">
        <x:f>F17-E17</x:f>
        <x:v>-6300</x:v>
      </x:c>
      <x:c r="J17" s="40" t="n">
        <x:f>IF(E17=0,"",I17/E17)</x:f>
        <x:v>-0.05</x:v>
      </x:c>
      <x:c r="K17" t="str">
        <x:v>Department Manager</x:v>
      </x:c>
      <x:c r="L17" t="str">
        <x:v>Open</x:v>
      </x:c>
      <x:c r="M17" t="str">
        <x:v>Main Scenario</x:v>
      </x:c>
      <x:c r="N17" t="str">
        <x:v>Simulated pilot data</x:v>
      </x:c>
    </x:row>
    <x:row r="18">
      <x:c r="A18" t="str">
        <x:v>BUD-OPE-02</x:v>
      </x:c>
      <x:c r="B18" t="str">
        <x:v>Operations</x:v>
      </x:c>
      <x:c r="C18" t="str">
        <x:v>Service Delivery</x:v>
      </x:c>
      <x:c r="D18" s="58" t="n">
        <x:v>46054</x:v>
      </x:c>
      <x:c r="E18" s="42" t="n">
        <x:v>126000</x:v>
      </x:c>
      <x:c r="F18" s="42" t="n">
        <x:v>128520</x:v>
      </x:c>
      <x:c r="G18" s="42" t="n">
        <x:v>3780</x:v>
      </x:c>
      <x:c r="H18" s="38" t="n">
        <x:f>E18-F18-G18</x:f>
        <x:v>-6300</x:v>
      </x:c>
      <x:c r="I18" s="38" t="n">
        <x:f>F18-E18</x:f>
        <x:v>2520</x:v>
      </x:c>
      <x:c r="J18" s="40" t="n">
        <x:f>IF(E18=0,"",I18/E18)</x:f>
        <x:v>0.02</x:v>
      </x:c>
      <x:c r="K18" t="str">
        <x:v>Department Manager</x:v>
      </x:c>
      <x:c r="L18" t="str">
        <x:v>Open</x:v>
      </x:c>
      <x:c r="M18" t="str">
        <x:v>Main Scenario</x:v>
      </x:c>
      <x:c r="N18" t="str">
        <x:v>Simulated pilot data</x:v>
      </x:c>
    </x:row>
    <x:row r="19">
      <x:c r="A19" t="str">
        <x:v>BUD-OPE-03</x:v>
      </x:c>
      <x:c r="B19" t="str">
        <x:v>Operations</x:v>
      </x:c>
      <x:c r="C19" t="str">
        <x:v>Service Delivery</x:v>
      </x:c>
      <x:c r="D19" s="58" t="n">
        <x:v>46082</x:v>
      </x:c>
      <x:c r="E19" s="42" t="n">
        <x:v>144000</x:v>
      </x:c>
      <x:c r="F19" s="42" t="n">
        <x:v>141120</x:v>
      </x:c>
      <x:c r="G19" s="42" t="n">
        <x:v>4320</x:v>
      </x:c>
      <x:c r="H19" s="38" t="n">
        <x:f>E19-F19-G19</x:f>
        <x:v>-1440</x:v>
      </x:c>
      <x:c r="I19" s="38" t="n">
        <x:f>F19-E19</x:f>
        <x:v>-2880</x:v>
      </x:c>
      <x:c r="J19" s="40" t="n">
        <x:f>IF(E19=0,"",I19/E19)</x:f>
        <x:v>-0.02</x:v>
      </x:c>
      <x:c r="K19" t="str">
        <x:v>Department Manager</x:v>
      </x:c>
      <x:c r="L19" t="str">
        <x:v>Open</x:v>
      </x:c>
      <x:c r="M19" t="str">
        <x:v>Main Scenario</x:v>
      </x:c>
      <x:c r="N19" t="str">
        <x:v>Simulated pilot data</x:v>
      </x:c>
    </x:row>
    <x:row r="20">
      <x:c r="A20" t="str">
        <x:v>BUD-OPE-04</x:v>
      </x:c>
      <x:c r="B20" t="str">
        <x:v>Operations</x:v>
      </x:c>
      <x:c r="C20" t="str">
        <x:v>Service Delivery</x:v>
      </x:c>
      <x:c r="D20" s="58" t="n">
        <x:v>46113</x:v>
      </x:c>
      <x:c r="E20" s="42" t="n">
        <x:v>144000</x:v>
      </x:c>
      <x:c r="F20" s="42" t="n">
        <x:v>149760</x:v>
      </x:c>
      <x:c r="G20" s="42" t="n">
        <x:v>4320</x:v>
      </x:c>
      <x:c r="H20" s="38" t="n">
        <x:f>E20-F20-G20</x:f>
        <x:v>-10080</x:v>
      </x:c>
      <x:c r="I20" s="38" t="n">
        <x:f>F20-E20</x:f>
        <x:v>5760</x:v>
      </x:c>
      <x:c r="J20" s="40" t="n">
        <x:f>IF(E20=0,"",I20/E20)</x:f>
        <x:v>0.04</x:v>
      </x:c>
      <x:c r="K20" t="str">
        <x:v>Department Manager</x:v>
      </x:c>
      <x:c r="L20" t="str">
        <x:v>Open</x:v>
      </x:c>
      <x:c r="M20" t="str">
        <x:v>Main Scenario</x:v>
      </x:c>
      <x:c r="N20" t="str">
        <x:v>Simulated pilot data</x:v>
      </x:c>
    </x:row>
    <x:row r="21">
      <x:c r="A21" t="str">
        <x:v>BUD-OPE-05</x:v>
      </x:c>
      <x:c r="B21" t="str">
        <x:v>Operations</x:v>
      </x:c>
      <x:c r="C21" t="str">
        <x:v>Service Delivery</x:v>
      </x:c>
      <x:c r="D21" s="58" t="n">
        <x:v>46143</x:v>
      </x:c>
      <x:c r="E21" s="42" t="n">
        <x:v>144000</x:v>
      </x:c>
      <x:c r="F21" s="42" t="n">
        <x:v>139680</x:v>
      </x:c>
      <x:c r="G21" s="42" t="n">
        <x:v>4320</x:v>
      </x:c>
      <x:c r="H21" s="38" t="n">
        <x:f>E21-F21-G21</x:f>
        <x:v>0</x:v>
      </x:c>
      <x:c r="I21" s="38" t="n">
        <x:f>F21-E21</x:f>
        <x:v>-4320</x:v>
      </x:c>
      <x:c r="J21" s="40" t="n">
        <x:f>IF(E21=0,"",I21/E21)</x:f>
        <x:v>-0.03</x:v>
      </x:c>
      <x:c r="K21" t="str">
        <x:v>Department Manager</x:v>
      </x:c>
      <x:c r="L21" t="str">
        <x:v>Open</x:v>
      </x:c>
      <x:c r="M21" t="str">
        <x:v>Main Scenario</x:v>
      </x:c>
      <x:c r="N21" t="str">
        <x:v>Simulated pilot data</x:v>
      </x:c>
    </x:row>
    <x:row r="22">
      <x:c r="A22" t="str">
        <x:v>BUD-OPE-06</x:v>
      </x:c>
      <x:c r="B22" t="str">
        <x:v>Operations</x:v>
      </x:c>
      <x:c r="C22" t="str">
        <x:v>Service Delivery</x:v>
      </x:c>
      <x:c r="D22" s="58" t="n">
        <x:v>46174</x:v>
      </x:c>
      <x:c r="E22" s="42" t="n">
        <x:v>144000</x:v>
      </x:c>
      <x:c r="F22" s="42" t="n">
        <x:v>145440</x:v>
      </x:c>
      <x:c r="G22" s="42" t="n">
        <x:v>4320</x:v>
      </x:c>
      <x:c r="H22" s="38" t="n">
        <x:f>E22-F22-G22</x:f>
        <x:v>-5760</x:v>
      </x:c>
      <x:c r="I22" s="38" t="n">
        <x:f>F22-E22</x:f>
        <x:v>1440</x:v>
      </x:c>
      <x:c r="J22" s="40" t="n">
        <x:f>IF(E22=0,"",I22/E22)</x:f>
        <x:v>0.01</x:v>
      </x:c>
      <x:c r="K22" t="str">
        <x:v>Department Manager</x:v>
      </x:c>
      <x:c r="L22" t="str">
        <x:v>Open</x:v>
      </x:c>
      <x:c r="M22" t="str">
        <x:v>Main Scenario</x:v>
      </x:c>
      <x:c r="N22" t="str">
        <x:v>Simulated pilot data</x:v>
      </x:c>
    </x:row>
    <x:row r="23">
      <x:c r="A23" t="str">
        <x:v>BUD-OPE-07</x:v>
      </x:c>
      <x:c r="B23" t="str">
        <x:v>Operations</x:v>
      </x:c>
      <x:c r="C23" t="str">
        <x:v>Service Delivery</x:v>
      </x:c>
      <x:c r="D23" s="58" t="n">
        <x:v>46204</x:v>
      </x:c>
      <x:c r="E23" s="42" t="n">
        <x:v>162000</x:v>
      </x:c>
      <x:c r="F23" s="42" t="n">
        <x:v>171720</x:v>
      </x:c>
      <x:c r="G23" s="42" t="n">
        <x:v>4860</x:v>
      </x:c>
      <x:c r="H23" s="38" t="n">
        <x:f>E23-F23-G23</x:f>
        <x:v>-14580</x:v>
      </x:c>
      <x:c r="I23" s="38" t="n">
        <x:f>F23-E23</x:f>
        <x:v>9720</x:v>
      </x:c>
      <x:c r="J23" s="40" t="n">
        <x:f>IF(E23=0,"",I23/E23)</x:f>
        <x:v>0.06</x:v>
      </x:c>
      <x:c r="K23" t="str">
        <x:v>Department Manager</x:v>
      </x:c>
      <x:c r="L23" t="str">
        <x:v>Open</x:v>
      </x:c>
      <x:c r="M23" t="str">
        <x:v>Main Scenario</x:v>
      </x:c>
      <x:c r="N23" t="str">
        <x:v>Simulated pilot data</x:v>
      </x:c>
    </x:row>
    <x:row r="24">
      <x:c r="A24" t="str">
        <x:v>BUD-OPE-08</x:v>
      </x:c>
      <x:c r="B24" t="str">
        <x:v>Operations</x:v>
      </x:c>
      <x:c r="C24" t="str">
        <x:v>Service Delivery</x:v>
      </x:c>
      <x:c r="D24" s="58" t="n">
        <x:v>46235</x:v>
      </x:c>
      <x:c r="E24" s="42" t="n">
        <x:v>162000</x:v>
      </x:c>
      <x:c r="F24" s="42" t="n">
        <x:v>160380</x:v>
      </x:c>
      <x:c r="G24" s="42" t="n">
        <x:v>4860</x:v>
      </x:c>
      <x:c r="H24" s="38" t="n">
        <x:f>E24-F24-G24</x:f>
        <x:v>-3240</x:v>
      </x:c>
      <x:c r="I24" s="38" t="n">
        <x:f>F24-E24</x:f>
        <x:v>-1620</x:v>
      </x:c>
      <x:c r="J24" s="40" t="n">
        <x:f>IF(E24=0,"",I24/E24)</x:f>
        <x:v>-0.01</x:v>
      </x:c>
      <x:c r="K24" t="str">
        <x:v>Department Manager</x:v>
      </x:c>
      <x:c r="L24" t="str">
        <x:v>Open</x:v>
      </x:c>
      <x:c r="M24" t="str">
        <x:v>Main Scenario</x:v>
      </x:c>
      <x:c r="N24" t="str">
        <x:v>Simulated pilot data</x:v>
      </x:c>
    </x:row>
    <x:row r="25">
      <x:c r="A25" t="str">
        <x:v>BUD-OPE-09</x:v>
      </x:c>
      <x:c r="B25" t="str">
        <x:v>Operations</x:v>
      </x:c>
      <x:c r="C25" t="str">
        <x:v>Service Delivery</x:v>
      </x:c>
      <x:c r="D25" s="58" t="n">
        <x:v>46266</x:v>
      </x:c>
      <x:c r="E25" s="42" t="n">
        <x:v>162000</x:v>
      </x:c>
      <x:c r="F25" s="42" t="n">
        <x:v>166860</x:v>
      </x:c>
      <x:c r="G25" s="42" t="n">
        <x:v>9720</x:v>
      </x:c>
      <x:c r="H25" s="38" t="n">
        <x:f>E25-F25-G25</x:f>
        <x:v>-14580</x:v>
      </x:c>
      <x:c r="I25" s="38" t="n">
        <x:f>F25-E25</x:f>
        <x:v>4860</x:v>
      </x:c>
      <x:c r="J25" s="40" t="n">
        <x:f>IF(E25=0,"",I25/E25)</x:f>
        <x:v>0.03</x:v>
      </x:c>
      <x:c r="K25" t="str">
        <x:v>Department Manager</x:v>
      </x:c>
      <x:c r="L25" t="str">
        <x:v>Open</x:v>
      </x:c>
      <x:c r="M25" t="str">
        <x:v>Main Scenario</x:v>
      </x:c>
      <x:c r="N25" t="str">
        <x:v>Simulated pilot data</x:v>
      </x:c>
    </x:row>
    <x:row r="26">
      <x:c r="A26" t="str">
        <x:v>BUD-OPE-10</x:v>
      </x:c>
      <x:c r="B26" t="str">
        <x:v>Operations</x:v>
      </x:c>
      <x:c r="C26" t="str">
        <x:v>Service Delivery</x:v>
      </x:c>
      <x:c r="D26" s="58" t="n">
        <x:v>46296</x:v>
      </x:c>
      <x:c r="E26" s="42" t="n">
        <x:v>162000</x:v>
      </x:c>
      <x:c r="F26" s="42" t="n">
        <x:v>155520</x:v>
      </x:c>
      <x:c r="G26" s="42" t="n">
        <x:v>9720</x:v>
      </x:c>
      <x:c r="H26" s="38" t="n">
        <x:f>E26-F26-G26</x:f>
        <x:v>-3240</x:v>
      </x:c>
      <x:c r="I26" s="38" t="n">
        <x:f>F26-E26</x:f>
        <x:v>-6480</x:v>
      </x:c>
      <x:c r="J26" s="40" t="n">
        <x:f>IF(E26=0,"",I26/E26)</x:f>
        <x:v>-0.04</x:v>
      </x:c>
      <x:c r="K26" t="str">
        <x:v>Department Manager</x:v>
      </x:c>
      <x:c r="L26" t="str">
        <x:v>Open</x:v>
      </x:c>
      <x:c r="M26" t="str">
        <x:v>Main Scenario</x:v>
      </x:c>
      <x:c r="N26" t="str">
        <x:v>Simulated pilot data</x:v>
      </x:c>
    </x:row>
    <x:row r="27">
      <x:c r="A27" t="str">
        <x:v>BUD-OPE-11</x:v>
      </x:c>
      <x:c r="B27" t="str">
        <x:v>Operations</x:v>
      </x:c>
      <x:c r="C27" t="str">
        <x:v>Service Delivery</x:v>
      </x:c>
      <x:c r="D27" s="58" t="n">
        <x:v>46327</x:v>
      </x:c>
      <x:c r="E27" s="42" t="n">
        <x:v>162000</x:v>
      </x:c>
      <x:c r="F27" s="42" t="n">
        <x:v>162000</x:v>
      </x:c>
      <x:c r="G27" s="42" t="n">
        <x:v>9720</x:v>
      </x:c>
      <x:c r="H27" s="38" t="n">
        <x:f>E27-F27-G27</x:f>
        <x:v>-9720</x:v>
      </x:c>
      <x:c r="I27" s="38" t="n">
        <x:f>F27-E27</x:f>
        <x:v>0</x:v>
      </x:c>
      <x:c r="J27" s="40" t="n">
        <x:f>IF(E27=0,"",I27/E27)</x:f>
        <x:v>0</x:v>
      </x:c>
      <x:c r="K27" t="str">
        <x:v>Department Manager</x:v>
      </x:c>
      <x:c r="L27" t="str">
        <x:v>Open</x:v>
      </x:c>
      <x:c r="M27" t="str">
        <x:v>Main Scenario</x:v>
      </x:c>
      <x:c r="N27" t="str">
        <x:v>Simulated pilot data</x:v>
      </x:c>
    </x:row>
    <x:row r="28">
      <x:c r="A28" t="str">
        <x:v>BUD-OPE-12</x:v>
      </x:c>
      <x:c r="B28" t="str">
        <x:v>Operations</x:v>
      </x:c>
      <x:c r="C28" t="str">
        <x:v>Service Delivery</x:v>
      </x:c>
      <x:c r="D28" s="58" t="n">
        <x:v>46357</x:v>
      </x:c>
      <x:c r="E28" s="42" t="n">
        <x:v>162000</x:v>
      </x:c>
      <x:c r="F28" s="42" t="n">
        <x:v>165240</x:v>
      </x:c>
      <x:c r="G28" s="42" t="n">
        <x:v>9720</x:v>
      </x:c>
      <x:c r="H28" s="38" t="n">
        <x:f>E28-F28-G28</x:f>
        <x:v>-12960</x:v>
      </x:c>
      <x:c r="I28" s="38" t="n">
        <x:f>F28-E28</x:f>
        <x:v>3240</x:v>
      </x:c>
      <x:c r="J28" s="40" t="n">
        <x:f>IF(E28=0,"",I28/E28)</x:f>
        <x:v>0.02</x:v>
      </x:c>
      <x:c r="K28" t="str">
        <x:v>Department Manager</x:v>
      </x:c>
      <x:c r="L28" t="str">
        <x:v>Open</x:v>
      </x:c>
      <x:c r="M28" t="str">
        <x:v>Main Scenario</x:v>
      </x:c>
      <x:c r="N28" t="str">
        <x:v>Simulated pilot data</x:v>
      </x:c>
    </x:row>
    <x:row r="29">
      <x:c r="A29" t="str">
        <x:v>BUD-IT-01</x:v>
      </x:c>
      <x:c r="B29" t="str">
        <x:v>IT</x:v>
      </x:c>
      <x:c r="C29" t="str">
        <x:v>Technology</x:v>
      </x:c>
      <x:c r="D29" s="58" t="n">
        <x:v>46023</x:v>
      </x:c>
      <x:c r="E29" s="42" t="n">
        <x:v>105000</x:v>
      </x:c>
      <x:c r="F29" s="42" t="n">
        <x:v>99750</x:v>
      </x:c>
      <x:c r="G29" s="42" t="n">
        <x:v>3150</x:v>
      </x:c>
      <x:c r="H29" s="38" t="n">
        <x:f>E29-F29-G29</x:f>
        <x:v>2100</x:v>
      </x:c>
      <x:c r="I29" s="38" t="n">
        <x:f>F29-E29</x:f>
        <x:v>-5250</x:v>
      </x:c>
      <x:c r="J29" s="40" t="n">
        <x:f>IF(E29=0,"",I29/E29)</x:f>
        <x:v>-0.05</x:v>
      </x:c>
      <x:c r="K29" t="str">
        <x:v>Department Manager</x:v>
      </x:c>
      <x:c r="L29" t="str">
        <x:v>Open</x:v>
      </x:c>
      <x:c r="M29" t="str">
        <x:v>Main Scenario</x:v>
      </x:c>
      <x:c r="N29" t="str">
        <x:v>Simulated pilot data</x:v>
      </x:c>
    </x:row>
    <x:row r="30">
      <x:c r="A30" t="str">
        <x:v>BUD-IT-02</x:v>
      </x:c>
      <x:c r="B30" t="str">
        <x:v>IT</x:v>
      </x:c>
      <x:c r="C30" t="str">
        <x:v>Technology</x:v>
      </x:c>
      <x:c r="D30" s="58" t="n">
        <x:v>46054</x:v>
      </x:c>
      <x:c r="E30" s="42" t="n">
        <x:v>105000</x:v>
      </x:c>
      <x:c r="F30" s="42" t="n">
        <x:v>107100</x:v>
      </x:c>
      <x:c r="G30" s="42" t="n">
        <x:v>3150</x:v>
      </x:c>
      <x:c r="H30" s="38" t="n">
        <x:f>E30-F30-G30</x:f>
        <x:v>-5250</x:v>
      </x:c>
      <x:c r="I30" s="38" t="n">
        <x:f>F30-E30</x:f>
        <x:v>2100</x:v>
      </x:c>
      <x:c r="J30" s="40" t="n">
        <x:f>IF(E30=0,"",I30/E30)</x:f>
        <x:v>0.02</x:v>
      </x:c>
      <x:c r="K30" t="str">
        <x:v>Department Manager</x:v>
      </x:c>
      <x:c r="L30" t="str">
        <x:v>Open</x:v>
      </x:c>
      <x:c r="M30" t="str">
        <x:v>Main Scenario</x:v>
      </x:c>
      <x:c r="N30" t="str">
        <x:v>Simulated pilot data</x:v>
      </x:c>
    </x:row>
    <x:row r="31">
      <x:c r="A31" t="str">
        <x:v>BUD-IT-03</x:v>
      </x:c>
      <x:c r="B31" t="str">
        <x:v>IT</x:v>
      </x:c>
      <x:c r="C31" t="str">
        <x:v>Technology</x:v>
      </x:c>
      <x:c r="D31" s="58" t="n">
        <x:v>46082</x:v>
      </x:c>
      <x:c r="E31" s="42" t="n">
        <x:v>120000</x:v>
      </x:c>
      <x:c r="F31" s="42" t="n">
        <x:v>117600</x:v>
      </x:c>
      <x:c r="G31" s="42" t="n">
        <x:v>3600</x:v>
      </x:c>
      <x:c r="H31" s="38" t="n">
        <x:f>E31-F31-G31</x:f>
        <x:v>-1200</x:v>
      </x:c>
      <x:c r="I31" s="38" t="n">
        <x:f>F31-E31</x:f>
        <x:v>-2400</x:v>
      </x:c>
      <x:c r="J31" s="40" t="n">
        <x:f>IF(E31=0,"",I31/E31)</x:f>
        <x:v>-0.02</x:v>
      </x:c>
      <x:c r="K31" t="str">
        <x:v>Department Manager</x:v>
      </x:c>
      <x:c r="L31" t="str">
        <x:v>Open</x:v>
      </x:c>
      <x:c r="M31" t="str">
        <x:v>Main Scenario</x:v>
      </x:c>
      <x:c r="N31" t="str">
        <x:v>Simulated pilot data</x:v>
      </x:c>
    </x:row>
    <x:row r="32">
      <x:c r="A32" t="str">
        <x:v>BUD-IT-04</x:v>
      </x:c>
      <x:c r="B32" t="str">
        <x:v>IT</x:v>
      </x:c>
      <x:c r="C32" t="str">
        <x:v>Technology</x:v>
      </x:c>
      <x:c r="D32" s="58" t="n">
        <x:v>46113</x:v>
      </x:c>
      <x:c r="E32" s="42" t="n">
        <x:v>120000</x:v>
      </x:c>
      <x:c r="F32" s="42" t="n">
        <x:v>124800</x:v>
      </x:c>
      <x:c r="G32" s="42" t="n">
        <x:v>3600</x:v>
      </x:c>
      <x:c r="H32" s="38" t="n">
        <x:f>E32-F32-G32</x:f>
        <x:v>-8400</x:v>
      </x:c>
      <x:c r="I32" s="38" t="n">
        <x:f>F32-E32</x:f>
        <x:v>4800</x:v>
      </x:c>
      <x:c r="J32" s="40" t="n">
        <x:f>IF(E32=0,"",I32/E32)</x:f>
        <x:v>0.04</x:v>
      </x:c>
      <x:c r="K32" t="str">
        <x:v>Department Manager</x:v>
      </x:c>
      <x:c r="L32" t="str">
        <x:v>Open</x:v>
      </x:c>
      <x:c r="M32" t="str">
        <x:v>Main Scenario</x:v>
      </x:c>
      <x:c r="N32" t="str">
        <x:v>Simulated pilot data</x:v>
      </x:c>
    </x:row>
    <x:row r="33">
      <x:c r="A33" t="str">
        <x:v>BUD-IT-05</x:v>
      </x:c>
      <x:c r="B33" t="str">
        <x:v>IT</x:v>
      </x:c>
      <x:c r="C33" t="str">
        <x:v>Technology</x:v>
      </x:c>
      <x:c r="D33" s="58" t="n">
        <x:v>46143</x:v>
      </x:c>
      <x:c r="E33" s="42" t="n">
        <x:v>120000</x:v>
      </x:c>
      <x:c r="F33" s="42" t="n">
        <x:v>116400</x:v>
      </x:c>
      <x:c r="G33" s="42" t="n">
        <x:v>3600</x:v>
      </x:c>
      <x:c r="H33" s="38" t="n">
        <x:f>E33-F33-G33</x:f>
        <x:v>0</x:v>
      </x:c>
      <x:c r="I33" s="38" t="n">
        <x:f>F33-E33</x:f>
        <x:v>-3600</x:v>
      </x:c>
      <x:c r="J33" s="40" t="n">
        <x:f>IF(E33=0,"",I33/E33)</x:f>
        <x:v>-0.03</x:v>
      </x:c>
      <x:c r="K33" t="str">
        <x:v>Department Manager</x:v>
      </x:c>
      <x:c r="L33" t="str">
        <x:v>Open</x:v>
      </x:c>
      <x:c r="M33" t="str">
        <x:v>Main Scenario</x:v>
      </x:c>
      <x:c r="N33" t="str">
        <x:v>Simulated pilot data</x:v>
      </x:c>
    </x:row>
    <x:row r="34">
      <x:c r="A34" t="str">
        <x:v>BUD-IT-06</x:v>
      </x:c>
      <x:c r="B34" t="str">
        <x:v>IT</x:v>
      </x:c>
      <x:c r="C34" t="str">
        <x:v>Technology</x:v>
      </x:c>
      <x:c r="D34" s="58" t="n">
        <x:v>46174</x:v>
      </x:c>
      <x:c r="E34" s="42" t="n">
        <x:v>120000</x:v>
      </x:c>
      <x:c r="F34" s="42" t="n">
        <x:v>121200</x:v>
      </x:c>
      <x:c r="G34" s="42" t="n">
        <x:v>3600</x:v>
      </x:c>
      <x:c r="H34" s="38" t="n">
        <x:f>E34-F34-G34</x:f>
        <x:v>-4800</x:v>
      </x:c>
      <x:c r="I34" s="38" t="n">
        <x:f>F34-E34</x:f>
        <x:v>1200</x:v>
      </x:c>
      <x:c r="J34" s="40" t="n">
        <x:f>IF(E34=0,"",I34/E34)</x:f>
        <x:v>0.01</x:v>
      </x:c>
      <x:c r="K34" t="str">
        <x:v>Department Manager</x:v>
      </x:c>
      <x:c r="L34" t="str">
        <x:v>Open</x:v>
      </x:c>
      <x:c r="M34" t="str">
        <x:v>Main Scenario</x:v>
      </x:c>
      <x:c r="N34" t="str">
        <x:v>Simulated pilot data</x:v>
      </x:c>
    </x:row>
    <x:row r="35">
      <x:c r="A35" t="str">
        <x:v>BUD-IT-07</x:v>
      </x:c>
      <x:c r="B35" t="str">
        <x:v>IT</x:v>
      </x:c>
      <x:c r="C35" t="str">
        <x:v>Technology</x:v>
      </x:c>
      <x:c r="D35" s="58" t="n">
        <x:v>46204</x:v>
      </x:c>
      <x:c r="E35" s="42" t="n">
        <x:v>135000</x:v>
      </x:c>
      <x:c r="F35" s="42" t="n">
        <x:v>143100</x:v>
      </x:c>
      <x:c r="G35" s="42" t="n">
        <x:v>4050</x:v>
      </x:c>
      <x:c r="H35" s="38" t="n">
        <x:f>E35-F35-G35</x:f>
        <x:v>-12150</x:v>
      </x:c>
      <x:c r="I35" s="38" t="n">
        <x:f>F35-E35</x:f>
        <x:v>8100</x:v>
      </x:c>
      <x:c r="J35" s="40" t="n">
        <x:f>IF(E35=0,"",I35/E35)</x:f>
        <x:v>0.06</x:v>
      </x:c>
      <x:c r="K35" t="str">
        <x:v>Department Manager</x:v>
      </x:c>
      <x:c r="L35" t="str">
        <x:v>Open</x:v>
      </x:c>
      <x:c r="M35" t="str">
        <x:v>Main Scenario</x:v>
      </x:c>
      <x:c r="N35" t="str">
        <x:v>Simulated pilot data</x:v>
      </x:c>
    </x:row>
    <x:row r="36">
      <x:c r="A36" t="str">
        <x:v>BUD-IT-08</x:v>
      </x:c>
      <x:c r="B36" t="str">
        <x:v>IT</x:v>
      </x:c>
      <x:c r="C36" t="str">
        <x:v>Technology</x:v>
      </x:c>
      <x:c r="D36" s="58" t="n">
        <x:v>46235</x:v>
      </x:c>
      <x:c r="E36" s="42" t="n">
        <x:v>135000</x:v>
      </x:c>
      <x:c r="F36" s="42" t="n">
        <x:v>133650</x:v>
      </x:c>
      <x:c r="G36" s="42" t="n">
        <x:v>4050</x:v>
      </x:c>
      <x:c r="H36" s="38" t="n">
        <x:f>E36-F36-G36</x:f>
        <x:v>-2700</x:v>
      </x:c>
      <x:c r="I36" s="38" t="n">
        <x:f>F36-E36</x:f>
        <x:v>-1350</x:v>
      </x:c>
      <x:c r="J36" s="40" t="n">
        <x:f>IF(E36=0,"",I36/E36)</x:f>
        <x:v>-0.01</x:v>
      </x:c>
      <x:c r="K36" t="str">
        <x:v>Department Manager</x:v>
      </x:c>
      <x:c r="L36" t="str">
        <x:v>Open</x:v>
      </x:c>
      <x:c r="M36" t="str">
        <x:v>Main Scenario</x:v>
      </x:c>
      <x:c r="N36" t="str">
        <x:v>Simulated pilot data</x:v>
      </x:c>
    </x:row>
    <x:row r="37">
      <x:c r="A37" t="str">
        <x:v>BUD-IT-09</x:v>
      </x:c>
      <x:c r="B37" t="str">
        <x:v>IT</x:v>
      </x:c>
      <x:c r="C37" t="str">
        <x:v>Technology</x:v>
      </x:c>
      <x:c r="D37" s="58" t="n">
        <x:v>46266</x:v>
      </x:c>
      <x:c r="E37" s="42" t="n">
        <x:v>135000</x:v>
      </x:c>
      <x:c r="F37" s="42" t="n">
        <x:v>139050</x:v>
      </x:c>
      <x:c r="G37" s="42" t="n">
        <x:v>8100</x:v>
      </x:c>
      <x:c r="H37" s="38" t="n">
        <x:f>E37-F37-G37</x:f>
        <x:v>-12150</x:v>
      </x:c>
      <x:c r="I37" s="38" t="n">
        <x:f>F37-E37</x:f>
        <x:v>4050</x:v>
      </x:c>
      <x:c r="J37" s="40" t="n">
        <x:f>IF(E37=0,"",I37/E37)</x:f>
        <x:v>0.03</x:v>
      </x:c>
      <x:c r="K37" t="str">
        <x:v>Department Manager</x:v>
      </x:c>
      <x:c r="L37" t="str">
        <x:v>Open</x:v>
      </x:c>
      <x:c r="M37" t="str">
        <x:v>Main Scenario</x:v>
      </x:c>
      <x:c r="N37" t="str">
        <x:v>Simulated pilot data</x:v>
      </x:c>
    </x:row>
    <x:row r="38">
      <x:c r="A38" t="str">
        <x:v>BUD-IT-10</x:v>
      </x:c>
      <x:c r="B38" t="str">
        <x:v>IT</x:v>
      </x:c>
      <x:c r="C38" t="str">
        <x:v>Technology</x:v>
      </x:c>
      <x:c r="D38" s="58" t="n">
        <x:v>46296</x:v>
      </x:c>
      <x:c r="E38" s="42" t="n">
        <x:v>135000</x:v>
      </x:c>
      <x:c r="F38" s="42" t="n">
        <x:v>129600</x:v>
      </x:c>
      <x:c r="G38" s="42" t="n">
        <x:v>8100</x:v>
      </x:c>
      <x:c r="H38" s="38" t="n">
        <x:f>E38-F38-G38</x:f>
        <x:v>-2700</x:v>
      </x:c>
      <x:c r="I38" s="38" t="n">
        <x:f>F38-E38</x:f>
        <x:v>-5400</x:v>
      </x:c>
      <x:c r="J38" s="40" t="n">
        <x:f>IF(E38=0,"",I38/E38)</x:f>
        <x:v>-0.04</x:v>
      </x:c>
      <x:c r="K38" t="str">
        <x:v>Department Manager</x:v>
      </x:c>
      <x:c r="L38" t="str">
        <x:v>Open</x:v>
      </x:c>
      <x:c r="M38" t="str">
        <x:v>Main Scenario</x:v>
      </x:c>
      <x:c r="N38" t="str">
        <x:v>Simulated pilot data</x:v>
      </x:c>
    </x:row>
    <x:row r="39">
      <x:c r="A39" t="str">
        <x:v>BUD-IT-11</x:v>
      </x:c>
      <x:c r="B39" t="str">
        <x:v>IT</x:v>
      </x:c>
      <x:c r="C39" t="str">
        <x:v>Technology</x:v>
      </x:c>
      <x:c r="D39" s="58" t="n">
        <x:v>46327</x:v>
      </x:c>
      <x:c r="E39" s="42" t="n">
        <x:v>135000</x:v>
      </x:c>
      <x:c r="F39" s="42" t="n">
        <x:v>135000</x:v>
      </x:c>
      <x:c r="G39" s="42" t="n">
        <x:v>8100</x:v>
      </x:c>
      <x:c r="H39" s="38" t="n">
        <x:f>E39-F39-G39</x:f>
        <x:v>-8100</x:v>
      </x:c>
      <x:c r="I39" s="38" t="n">
        <x:f>F39-E39</x:f>
        <x:v>0</x:v>
      </x:c>
      <x:c r="J39" s="40" t="n">
        <x:f>IF(E39=0,"",I39/E39)</x:f>
        <x:v>0</x:v>
      </x:c>
      <x:c r="K39" t="str">
        <x:v>Department Manager</x:v>
      </x:c>
      <x:c r="L39" t="str">
        <x:v>Open</x:v>
      </x:c>
      <x:c r="M39" t="str">
        <x:v>Main Scenario</x:v>
      </x:c>
      <x:c r="N39" t="str">
        <x:v>Simulated pilot data</x:v>
      </x:c>
    </x:row>
    <x:row r="40">
      <x:c r="A40" t="str">
        <x:v>BUD-IT-12</x:v>
      </x:c>
      <x:c r="B40" t="str">
        <x:v>IT</x:v>
      </x:c>
      <x:c r="C40" t="str">
        <x:v>Technology</x:v>
      </x:c>
      <x:c r="D40" s="58" t="n">
        <x:v>46357</x:v>
      </x:c>
      <x:c r="E40" s="42" t="n">
        <x:v>135000</x:v>
      </x:c>
      <x:c r="F40" s="42" t="n">
        <x:v>137700</x:v>
      </x:c>
      <x:c r="G40" s="42" t="n">
        <x:v>8100</x:v>
      </x:c>
      <x:c r="H40" s="38" t="n">
        <x:f>E40-F40-G40</x:f>
        <x:v>-10800</x:v>
      </x:c>
      <x:c r="I40" s="38" t="n">
        <x:f>F40-E40</x:f>
        <x:v>2700</x:v>
      </x:c>
      <x:c r="J40" s="40" t="n">
        <x:f>IF(E40=0,"",I40/E40)</x:f>
        <x:v>0.02</x:v>
      </x:c>
      <x:c r="K40" t="str">
        <x:v>Department Manager</x:v>
      </x:c>
      <x:c r="L40" t="str">
        <x:v>Open</x:v>
      </x:c>
      <x:c r="M40" t="str">
        <x:v>Main Scenario</x:v>
      </x:c>
      <x:c r="N40" t="str">
        <x:v>Simulated pilot data</x:v>
      </x:c>
    </x:row>
    <x:row r="41">
      <x:c r="A41" t="str">
        <x:v>BUD-MAR-01</x:v>
      </x:c>
      <x:c r="B41" t="str">
        <x:v>Marketing</x:v>
      </x:c>
      <x:c r="C41" t="str">
        <x:v>Business Development</x:v>
      </x:c>
      <x:c r="D41" s="58" t="n">
        <x:v>46023</x:v>
      </x:c>
      <x:c r="E41" s="42" t="n">
        <x:v>56000</x:v>
      </x:c>
      <x:c r="F41" s="42" t="n">
        <x:v>53200</x:v>
      </x:c>
      <x:c r="G41" s="42" t="n">
        <x:v>1680</x:v>
      </x:c>
      <x:c r="H41" s="38" t="n">
        <x:f>E41-F41-G41</x:f>
        <x:v>1120</x:v>
      </x:c>
      <x:c r="I41" s="38" t="n">
        <x:f>F41-E41</x:f>
        <x:v>-2800</x:v>
      </x:c>
      <x:c r="J41" s="40" t="n">
        <x:f>IF(E41=0,"",I41/E41)</x:f>
        <x:v>-0.05</x:v>
      </x:c>
      <x:c r="K41" t="str">
        <x:v>Department Manager</x:v>
      </x:c>
      <x:c r="L41" t="str">
        <x:v>Open</x:v>
      </x:c>
      <x:c r="M41" t="str">
        <x:v>Main Scenario</x:v>
      </x:c>
      <x:c r="N41" t="str">
        <x:v>Simulated pilot data</x:v>
      </x:c>
    </x:row>
    <x:row r="42">
      <x:c r="A42" t="str">
        <x:v>BUD-MAR-02</x:v>
      </x:c>
      <x:c r="B42" t="str">
        <x:v>Marketing</x:v>
      </x:c>
      <x:c r="C42" t="str">
        <x:v>Business Development</x:v>
      </x:c>
      <x:c r="D42" s="58" t="n">
        <x:v>46054</x:v>
      </x:c>
      <x:c r="E42" s="42" t="n">
        <x:v>56000</x:v>
      </x:c>
      <x:c r="F42" s="42" t="n">
        <x:v>57120</x:v>
      </x:c>
      <x:c r="G42" s="42" t="n">
        <x:v>1680</x:v>
      </x:c>
      <x:c r="H42" s="38" t="n">
        <x:f>E42-F42-G42</x:f>
        <x:v>-2800</x:v>
      </x:c>
      <x:c r="I42" s="38" t="n">
        <x:f>F42-E42</x:f>
        <x:v>1120</x:v>
      </x:c>
      <x:c r="J42" s="40" t="n">
        <x:f>IF(E42=0,"",I42/E42)</x:f>
        <x:v>0.02</x:v>
      </x:c>
      <x:c r="K42" t="str">
        <x:v>Department Manager</x:v>
      </x:c>
      <x:c r="L42" t="str">
        <x:v>Open</x:v>
      </x:c>
      <x:c r="M42" t="str">
        <x:v>Main Scenario</x:v>
      </x:c>
      <x:c r="N42" t="str">
        <x:v>Simulated pilot data</x:v>
      </x:c>
    </x:row>
    <x:row r="43">
      <x:c r="A43" t="str">
        <x:v>BUD-MAR-03</x:v>
      </x:c>
      <x:c r="B43" t="str">
        <x:v>Marketing</x:v>
      </x:c>
      <x:c r="C43" t="str">
        <x:v>Business Development</x:v>
      </x:c>
      <x:c r="D43" s="58" t="n">
        <x:v>46082</x:v>
      </x:c>
      <x:c r="E43" s="42" t="n">
        <x:v>64000</x:v>
      </x:c>
      <x:c r="F43" s="42" t="n">
        <x:v>62720</x:v>
      </x:c>
      <x:c r="G43" s="42" t="n">
        <x:v>1920</x:v>
      </x:c>
      <x:c r="H43" s="38" t="n">
        <x:f>E43-F43-G43</x:f>
        <x:v>-640</x:v>
      </x:c>
      <x:c r="I43" s="38" t="n">
        <x:f>F43-E43</x:f>
        <x:v>-1280</x:v>
      </x:c>
      <x:c r="J43" s="40" t="n">
        <x:f>IF(E43=0,"",I43/E43)</x:f>
        <x:v>-0.02</x:v>
      </x:c>
      <x:c r="K43" t="str">
        <x:v>Department Manager</x:v>
      </x:c>
      <x:c r="L43" t="str">
        <x:v>Open</x:v>
      </x:c>
      <x:c r="M43" t="str">
        <x:v>Main Scenario</x:v>
      </x:c>
      <x:c r="N43" t="str">
        <x:v>Simulated pilot data</x:v>
      </x:c>
    </x:row>
    <x:row r="44">
      <x:c r="A44" t="str">
        <x:v>BUD-MAR-04</x:v>
      </x:c>
      <x:c r="B44" t="str">
        <x:v>Marketing</x:v>
      </x:c>
      <x:c r="C44" t="str">
        <x:v>Business Development</x:v>
      </x:c>
      <x:c r="D44" s="58" t="n">
        <x:v>46113</x:v>
      </x:c>
      <x:c r="E44" s="42" t="n">
        <x:v>64000</x:v>
      </x:c>
      <x:c r="F44" s="42" t="n">
        <x:v>66560</x:v>
      </x:c>
      <x:c r="G44" s="42" t="n">
        <x:v>1920</x:v>
      </x:c>
      <x:c r="H44" s="38" t="n">
        <x:f>E44-F44-G44</x:f>
        <x:v>-4480</x:v>
      </x:c>
      <x:c r="I44" s="38" t="n">
        <x:f>F44-E44</x:f>
        <x:v>2560</x:v>
      </x:c>
      <x:c r="J44" s="40" t="n">
        <x:f>IF(E44=0,"",I44/E44)</x:f>
        <x:v>0.04</x:v>
      </x:c>
      <x:c r="K44" t="str">
        <x:v>Department Manager</x:v>
      </x:c>
      <x:c r="L44" t="str">
        <x:v>Open</x:v>
      </x:c>
      <x:c r="M44" t="str">
        <x:v>Main Scenario</x:v>
      </x:c>
      <x:c r="N44" t="str">
        <x:v>Simulated pilot data</x:v>
      </x:c>
    </x:row>
    <x:row r="45">
      <x:c r="A45" t="str">
        <x:v>BUD-MAR-05</x:v>
      </x:c>
      <x:c r="B45" t="str">
        <x:v>Marketing</x:v>
      </x:c>
      <x:c r="C45" t="str">
        <x:v>Business Development</x:v>
      </x:c>
      <x:c r="D45" s="58" t="n">
        <x:v>46143</x:v>
      </x:c>
      <x:c r="E45" s="42" t="n">
        <x:v>64000</x:v>
      </x:c>
      <x:c r="F45" s="42" t="n">
        <x:v>62080</x:v>
      </x:c>
      <x:c r="G45" s="42" t="n">
        <x:v>1920</x:v>
      </x:c>
      <x:c r="H45" s="38" t="n">
        <x:f>E45-F45-G45</x:f>
        <x:v>0</x:v>
      </x:c>
      <x:c r="I45" s="38" t="n">
        <x:f>F45-E45</x:f>
        <x:v>-1920</x:v>
      </x:c>
      <x:c r="J45" s="40" t="n">
        <x:f>IF(E45=0,"",I45/E45)</x:f>
        <x:v>-0.03</x:v>
      </x:c>
      <x:c r="K45" t="str">
        <x:v>Department Manager</x:v>
      </x:c>
      <x:c r="L45" t="str">
        <x:v>Open</x:v>
      </x:c>
      <x:c r="M45" t="str">
        <x:v>Main Scenario</x:v>
      </x:c>
      <x:c r="N45" t="str">
        <x:v>Simulated pilot data</x:v>
      </x:c>
    </x:row>
    <x:row r="46">
      <x:c r="A46" t="str">
        <x:v>BUD-MAR-06</x:v>
      </x:c>
      <x:c r="B46" t="str">
        <x:v>Marketing</x:v>
      </x:c>
      <x:c r="C46" t="str">
        <x:v>Business Development</x:v>
      </x:c>
      <x:c r="D46" s="58" t="n">
        <x:v>46174</x:v>
      </x:c>
      <x:c r="E46" s="42" t="n">
        <x:v>64000</x:v>
      </x:c>
      <x:c r="F46" s="42" t="n">
        <x:v>64640</x:v>
      </x:c>
      <x:c r="G46" s="42" t="n">
        <x:v>1920</x:v>
      </x:c>
      <x:c r="H46" s="38" t="n">
        <x:f>E46-F46-G46</x:f>
        <x:v>-2560</x:v>
      </x:c>
      <x:c r="I46" s="38" t="n">
        <x:f>F46-E46</x:f>
        <x:v>640</x:v>
      </x:c>
      <x:c r="J46" s="40" t="n">
        <x:f>IF(E46=0,"",I46/E46)</x:f>
        <x:v>0.01</x:v>
      </x:c>
      <x:c r="K46" t="str">
        <x:v>Department Manager</x:v>
      </x:c>
      <x:c r="L46" t="str">
        <x:v>Open</x:v>
      </x:c>
      <x:c r="M46" t="str">
        <x:v>Main Scenario</x:v>
      </x:c>
      <x:c r="N46" t="str">
        <x:v>Simulated pilot data</x:v>
      </x:c>
    </x:row>
    <x:row r="47">
      <x:c r="A47" t="str">
        <x:v>BUD-MAR-07</x:v>
      </x:c>
      <x:c r="B47" t="str">
        <x:v>Marketing</x:v>
      </x:c>
      <x:c r="C47" t="str">
        <x:v>Business Development</x:v>
      </x:c>
      <x:c r="D47" s="58" t="n">
        <x:v>46204</x:v>
      </x:c>
      <x:c r="E47" s="42" t="n">
        <x:v>72000</x:v>
      </x:c>
      <x:c r="F47" s="42" t="n">
        <x:v>76320</x:v>
      </x:c>
      <x:c r="G47" s="42" t="n">
        <x:v>2160</x:v>
      </x:c>
      <x:c r="H47" s="38" t="n">
        <x:f>E47-F47-G47</x:f>
        <x:v>-6480</x:v>
      </x:c>
      <x:c r="I47" s="38" t="n">
        <x:f>F47-E47</x:f>
        <x:v>4320</x:v>
      </x:c>
      <x:c r="J47" s="40" t="n">
        <x:f>IF(E47=0,"",I47/E47)</x:f>
        <x:v>0.06</x:v>
      </x:c>
      <x:c r="K47" t="str">
        <x:v>Department Manager</x:v>
      </x:c>
      <x:c r="L47" t="str">
        <x:v>Open</x:v>
      </x:c>
      <x:c r="M47" t="str">
        <x:v>Main Scenario</x:v>
      </x:c>
      <x:c r="N47" t="str">
        <x:v>Simulated pilot data</x:v>
      </x:c>
    </x:row>
    <x:row r="48">
      <x:c r="A48" t="str">
        <x:v>BUD-MAR-08</x:v>
      </x:c>
      <x:c r="B48" t="str">
        <x:v>Marketing</x:v>
      </x:c>
      <x:c r="C48" t="str">
        <x:v>Business Development</x:v>
      </x:c>
      <x:c r="D48" s="58" t="n">
        <x:v>46235</x:v>
      </x:c>
      <x:c r="E48" s="42" t="n">
        <x:v>72000</x:v>
      </x:c>
      <x:c r="F48" s="42" t="n">
        <x:v>71280</x:v>
      </x:c>
      <x:c r="G48" s="42" t="n">
        <x:v>2160</x:v>
      </x:c>
      <x:c r="H48" s="38" t="n">
        <x:f>E48-F48-G48</x:f>
        <x:v>-1440</x:v>
      </x:c>
      <x:c r="I48" s="38" t="n">
        <x:f>F48-E48</x:f>
        <x:v>-720</x:v>
      </x:c>
      <x:c r="J48" s="40" t="n">
        <x:f>IF(E48=0,"",I48/E48)</x:f>
        <x:v>-0.01</x:v>
      </x:c>
      <x:c r="K48" t="str">
        <x:v>Department Manager</x:v>
      </x:c>
      <x:c r="L48" t="str">
        <x:v>Open</x:v>
      </x:c>
      <x:c r="M48" t="str">
        <x:v>Main Scenario</x:v>
      </x:c>
      <x:c r="N48" t="str">
        <x:v>Simulated pilot data</x:v>
      </x:c>
    </x:row>
    <x:row r="49">
      <x:c r="A49" t="str">
        <x:v>BUD-MAR-09</x:v>
      </x:c>
      <x:c r="B49" t="str">
        <x:v>Marketing</x:v>
      </x:c>
      <x:c r="C49" t="str">
        <x:v>Business Development</x:v>
      </x:c>
      <x:c r="D49" s="58" t="n">
        <x:v>46266</x:v>
      </x:c>
      <x:c r="E49" s="42" t="n">
        <x:v>72000</x:v>
      </x:c>
      <x:c r="F49" s="42" t="n">
        <x:v>74160</x:v>
      </x:c>
      <x:c r="G49" s="42" t="n">
        <x:v>4320</x:v>
      </x:c>
      <x:c r="H49" s="38" t="n">
        <x:f>E49-F49-G49</x:f>
        <x:v>-6480</x:v>
      </x:c>
      <x:c r="I49" s="38" t="n">
        <x:f>F49-E49</x:f>
        <x:v>2160</x:v>
      </x:c>
      <x:c r="J49" s="40" t="n">
        <x:f>IF(E49=0,"",I49/E49)</x:f>
        <x:v>0.03</x:v>
      </x:c>
      <x:c r="K49" t="str">
        <x:v>Department Manager</x:v>
      </x:c>
      <x:c r="L49" t="str">
        <x:v>Open</x:v>
      </x:c>
      <x:c r="M49" t="str">
        <x:v>Main Scenario</x:v>
      </x:c>
      <x:c r="N49" t="str">
        <x:v>Simulated pilot data</x:v>
      </x:c>
    </x:row>
    <x:row r="50">
      <x:c r="A50" t="str">
        <x:v>BUD-MAR-10</x:v>
      </x:c>
      <x:c r="B50" t="str">
        <x:v>Marketing</x:v>
      </x:c>
      <x:c r="C50" t="str">
        <x:v>Business Development</x:v>
      </x:c>
      <x:c r="D50" s="58" t="n">
        <x:v>46296</x:v>
      </x:c>
      <x:c r="E50" s="42" t="n">
        <x:v>72000</x:v>
      </x:c>
      <x:c r="F50" s="42" t="n">
        <x:v>69120</x:v>
      </x:c>
      <x:c r="G50" s="42" t="n">
        <x:v>4320</x:v>
      </x:c>
      <x:c r="H50" s="38" t="n">
        <x:f>E50-F50-G50</x:f>
        <x:v>-1440</x:v>
      </x:c>
      <x:c r="I50" s="38" t="n">
        <x:f>F50-E50</x:f>
        <x:v>-2880</x:v>
      </x:c>
      <x:c r="J50" s="40" t="n">
        <x:f>IF(E50=0,"",I50/E50)</x:f>
        <x:v>-0.04</x:v>
      </x:c>
      <x:c r="K50" t="str">
        <x:v>Department Manager</x:v>
      </x:c>
      <x:c r="L50" t="str">
        <x:v>Open</x:v>
      </x:c>
      <x:c r="M50" t="str">
        <x:v>Main Scenario</x:v>
      </x:c>
      <x:c r="N50" t="str">
        <x:v>Simulated pilot data</x:v>
      </x:c>
    </x:row>
    <x:row r="51">
      <x:c r="A51" t="str">
        <x:v>BUD-MAR-11</x:v>
      </x:c>
      <x:c r="B51" t="str">
        <x:v>Marketing</x:v>
      </x:c>
      <x:c r="C51" t="str">
        <x:v>Business Development</x:v>
      </x:c>
      <x:c r="D51" s="58" t="n">
        <x:v>46327</x:v>
      </x:c>
      <x:c r="E51" s="42" t="n">
        <x:v>72000</x:v>
      </x:c>
      <x:c r="F51" s="42" t="n">
        <x:v>72000</x:v>
      </x:c>
      <x:c r="G51" s="42" t="n">
        <x:v>4320</x:v>
      </x:c>
      <x:c r="H51" s="38" t="n">
        <x:f>E51-F51-G51</x:f>
        <x:v>-4320</x:v>
      </x:c>
      <x:c r="I51" s="38" t="n">
        <x:f>F51-E51</x:f>
        <x:v>0</x:v>
      </x:c>
      <x:c r="J51" s="40" t="n">
        <x:f>IF(E51=0,"",I51/E51)</x:f>
        <x:v>0</x:v>
      </x:c>
      <x:c r="K51" t="str">
        <x:v>Department Manager</x:v>
      </x:c>
      <x:c r="L51" t="str">
        <x:v>Open</x:v>
      </x:c>
      <x:c r="M51" t="str">
        <x:v>Main Scenario</x:v>
      </x:c>
      <x:c r="N51" t="str">
        <x:v>Simulated pilot data</x:v>
      </x:c>
    </x:row>
    <x:row r="52">
      <x:c r="A52" t="str">
        <x:v>BUD-MAR-12</x:v>
      </x:c>
      <x:c r="B52" t="str">
        <x:v>Marketing</x:v>
      </x:c>
      <x:c r="C52" t="str">
        <x:v>Business Development</x:v>
      </x:c>
      <x:c r="D52" s="58" t="n">
        <x:v>46357</x:v>
      </x:c>
      <x:c r="E52" s="42" t="n">
        <x:v>72000</x:v>
      </x:c>
      <x:c r="F52" s="42" t="n">
        <x:v>73440</x:v>
      </x:c>
      <x:c r="G52" s="42" t="n">
        <x:v>4320</x:v>
      </x:c>
      <x:c r="H52" s="38" t="n">
        <x:f>E52-F52-G52</x:f>
        <x:v>-5760</x:v>
      </x:c>
      <x:c r="I52" s="38" t="n">
        <x:f>F52-E52</x:f>
        <x:v>1440</x:v>
      </x:c>
      <x:c r="J52" s="40" t="n">
        <x:f>IF(E52=0,"",I52/E52)</x:f>
        <x:v>0.02</x:v>
      </x:c>
      <x:c r="K52" t="str">
        <x:v>Department Manager</x:v>
      </x:c>
      <x:c r="L52" t="str">
        <x:v>Open</x:v>
      </x:c>
      <x:c r="M52" t="str">
        <x:v>Main Scenario</x:v>
      </x:c>
      <x:c r="N52" t="str">
        <x:v>Simulated pilot data</x:v>
      </x:c>
    </x:row>
  </x:sheetData>
  <x:mergeCells>
    <x:mergeCell ref="A1:N1"/>
    <x:mergeCell ref="A2:N2"/>
  </x:mergeCells>
  <x:conditionalFormatting sqref="J5:J52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fdc4b31fdf24fd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5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8" hidden="0" customWidth="1"/>
  </x:cols>
  <x:sheetData>
    <x:row r="1" ht="28" customHeight="1">
      <x:c r="A1" s="5" t="str">
        <x:v>12-Month Cash-Flow Forecast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2" t="str">
        <x:v>Simulated Main Scenario forecast. Opening cash uses reported balance-sheet cash and remains pending reconciliation.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28" customHeight="1">
      <x:c r="A4" s="20" t="str">
        <x:v>Month</x:v>
      </x:c>
      <x:c r="B4" s="20" t="str">
        <x:v>Opening Cash (XAF)</x:v>
      </x:c>
      <x:c r="C4" s="20" t="str">
        <x:v>Customer Collections</x:v>
      </x:c>
      <x:c r="D4" s="20" t="str">
        <x:v>Other Inflows</x:v>
      </x:c>
      <x:c r="E4" s="20" t="str">
        <x:v>Payroll</x:v>
      </x:c>
      <x:c r="F4" s="20" t="str">
        <x:v>Supplier Payments</x:v>
      </x:c>
      <x:c r="G4" s="20" t="str">
        <x:v>Operating Expenses</x:v>
      </x:c>
      <x:c r="H4" s="20" t="str">
        <x:v>Tax/Finance Costs</x:v>
      </x:c>
      <x:c r="I4" s="20" t="str">
        <x:v>Capital Expenditure</x:v>
      </x:c>
      <x:c r="J4" s="20" t="str">
        <x:v>Net Cash Flow</x:v>
      </x:c>
      <x:c r="K4" s="20" t="str">
        <x:v>Closing Cash</x:v>
      </x:c>
      <x:c r="L4" s="20" t="str">
        <x:v>Minimum Cash</x:v>
      </x:c>
      <x:c r="M4" s="20" t="str">
        <x:v>Financing Gap</x:v>
      </x:c>
      <x:c r="N4" s="20" t="str">
        <x:v>Data Classification</x:v>
      </x:c>
    </x:row>
    <x:row r="5">
      <x:c r="A5" s="58" t="n">
        <x:v>46023</x:v>
      </x:c>
      <x:c r="B5" s="42" t="n">
        <x:v>1200000</x:v>
      </x:c>
      <x:c r="C5" s="42" t="n">
        <x:v>280000</x:v>
      </x:c>
      <x:c r="D5" s="42" t="n">
        <x:v>0</x:v>
      </x:c>
      <x:c r="E5" s="42" t="n">
        <x:v>90000</x:v>
      </x:c>
      <x:c r="F5" s="42" t="n">
        <x:v>130000</x:v>
      </x:c>
      <x:c r="G5" s="42" t="n">
        <x:v>42000</x:v>
      </x:c>
      <x:c r="H5" s="42" t="n">
        <x:v>15000</x:v>
      </x:c>
      <x:c r="I5" s="42" t="n">
        <x:v>100000</x:v>
      </x:c>
      <x:c r="J5" s="38" t="n">
        <x:f>C5+D5-SUM(E5:I5)</x:f>
        <x:v>-97000</x:v>
      </x:c>
      <x:c r="K5" s="38" t="n">
        <x:f>B5+J5</x:f>
        <x:v>1103000</x:v>
      </x:c>
      <x:c r="L5" s="38" t="n">
        <x:v>500000</x:v>
      </x:c>
      <x:c r="M5" s="38" t="n">
        <x:f>MAX(0,L5-K5)</x:f>
        <x:v>0</x:v>
      </x:c>
      <x:c r="N5" t="str">
        <x:v>Forecast</x:v>
      </x:c>
    </x:row>
    <x:row r="6">
      <x:c r="A6" s="58" t="n">
        <x:v>46054</x:v>
      </x:c>
      <x:c r="B6" s="42" t="n">
        <x:f>K5</x:f>
        <x:v>1103000</x:v>
      </x:c>
      <x:c r="C6" s="42" t="n">
        <x:v>300000</x:v>
      </x:c>
      <x:c r="D6" s="42" t="n">
        <x:v>0</x:v>
      </x:c>
      <x:c r="E6" s="42" t="n">
        <x:v>90000</x:v>
      </x:c>
      <x:c r="F6" s="42" t="n">
        <x:v>135000</x:v>
      </x:c>
      <x:c r="G6" s="42" t="n">
        <x:v>43000</x:v>
      </x:c>
      <x:c r="H6" s="42" t="n">
        <x:v>15000</x:v>
      </x:c>
      <x:c r="I6" s="42" t="n">
        <x:v>0</x:v>
      </x:c>
      <x:c r="J6" s="38" t="n">
        <x:f>C6+D6-SUM(E6:I6)</x:f>
        <x:v>17000</x:v>
      </x:c>
      <x:c r="K6" s="38" t="n">
        <x:f>B6+J6</x:f>
        <x:v>1120000</x:v>
      </x:c>
      <x:c r="L6" s="38" t="n">
        <x:v>500000</x:v>
      </x:c>
      <x:c r="M6" s="38" t="n">
        <x:f>MAX(0,L6-K6)</x:f>
        <x:v>0</x:v>
      </x:c>
      <x:c r="N6" t="str">
        <x:v>Forecast</x:v>
      </x:c>
    </x:row>
    <x:row r="7">
      <x:c r="A7" s="58" t="n">
        <x:v>46082</x:v>
      </x:c>
      <x:c r="B7" s="42" t="n">
        <x:f>K6</x:f>
        <x:v>1120000</x:v>
      </x:c>
      <x:c r="C7" s="42" t="n">
        <x:v>320000</x:v>
      </x:c>
      <x:c r="D7" s="42" t="n">
        <x:v>0</x:v>
      </x:c>
      <x:c r="E7" s="42" t="n">
        <x:v>90000</x:v>
      </x:c>
      <x:c r="F7" s="42" t="n">
        <x:v>140000</x:v>
      </x:c>
      <x:c r="G7" s="42" t="n">
        <x:v>44000</x:v>
      </x:c>
      <x:c r="H7" s="42" t="n">
        <x:v>15000</x:v>
      </x:c>
      <x:c r="I7" s="42" t="n">
        <x:v>0</x:v>
      </x:c>
      <x:c r="J7" s="38" t="n">
        <x:f>C7+D7-SUM(E7:I7)</x:f>
        <x:v>31000</x:v>
      </x:c>
      <x:c r="K7" s="38" t="n">
        <x:f>B7+J7</x:f>
        <x:v>1151000</x:v>
      </x:c>
      <x:c r="L7" s="38" t="n">
        <x:v>500000</x:v>
      </x:c>
      <x:c r="M7" s="38" t="n">
        <x:f>MAX(0,L7-K7)</x:f>
        <x:v>0</x:v>
      </x:c>
      <x:c r="N7" t="str">
        <x:v>Forecast</x:v>
      </x:c>
    </x:row>
    <x:row r="8">
      <x:c r="A8" s="58" t="n">
        <x:v>46113</x:v>
      </x:c>
      <x:c r="B8" s="42" t="n">
        <x:f>K7</x:f>
        <x:v>1151000</x:v>
      </x:c>
      <x:c r="C8" s="42" t="n">
        <x:v>340000</x:v>
      </x:c>
      <x:c r="D8" s="42" t="n">
        <x:v>0</x:v>
      </x:c>
      <x:c r="E8" s="42" t="n">
        <x:v>90000</x:v>
      </x:c>
      <x:c r="F8" s="42" t="n">
        <x:v>145000</x:v>
      </x:c>
      <x:c r="G8" s="42" t="n">
        <x:v>45000</x:v>
      </x:c>
      <x:c r="H8" s="42" t="n">
        <x:v>20000</x:v>
      </x:c>
      <x:c r="I8" s="42" t="n">
        <x:v>150000</x:v>
      </x:c>
      <x:c r="J8" s="38" t="n">
        <x:f>C8+D8-SUM(E8:I8)</x:f>
        <x:v>-110000</x:v>
      </x:c>
      <x:c r="K8" s="38" t="n">
        <x:f>B8+J8</x:f>
        <x:v>1041000</x:v>
      </x:c>
      <x:c r="L8" s="38" t="n">
        <x:v>500000</x:v>
      </x:c>
      <x:c r="M8" s="38" t="n">
        <x:f>MAX(0,L8-K8)</x:f>
        <x:v>0</x:v>
      </x:c>
      <x:c r="N8" t="str">
        <x:v>Forecast</x:v>
      </x:c>
    </x:row>
    <x:row r="9">
      <x:c r="A9" s="58" t="n">
        <x:v>46143</x:v>
      </x:c>
      <x:c r="B9" s="42" t="n">
        <x:f>K8</x:f>
        <x:v>1041000</x:v>
      </x:c>
      <x:c r="C9" s="42" t="n">
        <x:v>350000</x:v>
      </x:c>
      <x:c r="D9" s="42" t="n">
        <x:v>0</x:v>
      </x:c>
      <x:c r="E9" s="42" t="n">
        <x:v>90000</x:v>
      </x:c>
      <x:c r="F9" s="42" t="n">
        <x:v>150000</x:v>
      </x:c>
      <x:c r="G9" s="42" t="n">
        <x:v>46000</x:v>
      </x:c>
      <x:c r="H9" s="42" t="n">
        <x:v>15000</x:v>
      </x:c>
      <x:c r="I9" s="42" t="n">
        <x:v>0</x:v>
      </x:c>
      <x:c r="J9" s="38" t="n">
        <x:f>C9+D9-SUM(E9:I9)</x:f>
        <x:v>49000</x:v>
      </x:c>
      <x:c r="K9" s="38" t="n">
        <x:f>B9+J9</x:f>
        <x:v>1090000</x:v>
      </x:c>
      <x:c r="L9" s="38" t="n">
        <x:v>500000</x:v>
      </x:c>
      <x:c r="M9" s="38" t="n">
        <x:f>MAX(0,L9-K9)</x:f>
        <x:v>0</x:v>
      </x:c>
      <x:c r="N9" t="str">
        <x:v>Forecast</x:v>
      </x:c>
    </x:row>
    <x:row r="10">
      <x:c r="A10" s="58" t="n">
        <x:v>46174</x:v>
      </x:c>
      <x:c r="B10" s="42" t="n">
        <x:f>K9</x:f>
        <x:v>1090000</x:v>
      </x:c>
      <x:c r="C10" s="42" t="n">
        <x:v>360000</x:v>
      </x:c>
      <x:c r="D10" s="42" t="n">
        <x:v>0</x:v>
      </x:c>
      <x:c r="E10" s="42" t="n">
        <x:v>90000</x:v>
      </x:c>
      <x:c r="F10" s="42" t="n">
        <x:v>150000</x:v>
      </x:c>
      <x:c r="G10" s="42" t="n">
        <x:v>47000</x:v>
      </x:c>
      <x:c r="H10" s="42" t="n">
        <x:v>15000</x:v>
      </x:c>
      <x:c r="I10" s="42" t="n">
        <x:v>0</x:v>
      </x:c>
      <x:c r="J10" s="38" t="n">
        <x:f>C10+D10-SUM(E10:I10)</x:f>
        <x:v>58000</x:v>
      </x:c>
      <x:c r="K10" s="38" t="n">
        <x:f>B10+J10</x:f>
        <x:v>1148000</x:v>
      </x:c>
      <x:c r="L10" s="38" t="n">
        <x:v>500000</x:v>
      </x:c>
      <x:c r="M10" s="38" t="n">
        <x:f>MAX(0,L10-K10)</x:f>
        <x:v>0</x:v>
      </x:c>
      <x:c r="N10" t="str">
        <x:v>Forecast</x:v>
      </x:c>
    </x:row>
    <x:row r="11">
      <x:c r="A11" s="58" t="n">
        <x:v>46204</x:v>
      </x:c>
      <x:c r="B11" s="42" t="n">
        <x:f>K10</x:f>
        <x:v>1148000</x:v>
      </x:c>
      <x:c r="C11" s="42" t="n">
        <x:v>370000</x:v>
      </x:c>
      <x:c r="D11" s="42" t="n">
        <x:v>0</x:v>
      </x:c>
      <x:c r="E11" s="42" t="n">
        <x:v>90000</x:v>
      </x:c>
      <x:c r="F11" s="42" t="n">
        <x:v>155000</x:v>
      </x:c>
      <x:c r="G11" s="42" t="n">
        <x:v>48000</x:v>
      </x:c>
      <x:c r="H11" s="42" t="n">
        <x:v>20000</x:v>
      </x:c>
      <x:c r="I11" s="42" t="n">
        <x:v>100000</x:v>
      </x:c>
      <x:c r="J11" s="38" t="n">
        <x:f>C11+D11-SUM(E11:I11)</x:f>
        <x:v>-43000</x:v>
      </x:c>
      <x:c r="K11" s="38" t="n">
        <x:f>B11+J11</x:f>
        <x:v>1105000</x:v>
      </x:c>
      <x:c r="L11" s="38" t="n">
        <x:v>500000</x:v>
      </x:c>
      <x:c r="M11" s="38" t="n">
        <x:f>MAX(0,L11-K11)</x:f>
        <x:v>0</x:v>
      </x:c>
      <x:c r="N11" t="str">
        <x:v>Forecast</x:v>
      </x:c>
    </x:row>
    <x:row r="12">
      <x:c r="A12" s="58" t="n">
        <x:v>46235</x:v>
      </x:c>
      <x:c r="B12" s="42" t="n">
        <x:f>K11</x:f>
        <x:v>1105000</x:v>
      </x:c>
      <x:c r="C12" s="42" t="n">
        <x:v>380000</x:v>
      </x:c>
      <x:c r="D12" s="42" t="n">
        <x:v>0</x:v>
      </x:c>
      <x:c r="E12" s="42" t="n">
        <x:v>90000</x:v>
      </x:c>
      <x:c r="F12" s="42" t="n">
        <x:v>160000</x:v>
      </x:c>
      <x:c r="G12" s="42" t="n">
        <x:v>49000</x:v>
      </x:c>
      <x:c r="H12" s="42" t="n">
        <x:v>15000</x:v>
      </x:c>
      <x:c r="I12" s="42" t="n">
        <x:v>0</x:v>
      </x:c>
      <x:c r="J12" s="38" t="n">
        <x:f>C12+D12-SUM(E12:I12)</x:f>
        <x:v>66000</x:v>
      </x:c>
      <x:c r="K12" s="38" t="n">
        <x:f>B12+J12</x:f>
        <x:v>1171000</x:v>
      </x:c>
      <x:c r="L12" s="38" t="n">
        <x:v>500000</x:v>
      </x:c>
      <x:c r="M12" s="38" t="n">
        <x:f>MAX(0,L12-K12)</x:f>
        <x:v>0</x:v>
      </x:c>
      <x:c r="N12" t="str">
        <x:v>Forecast</x:v>
      </x:c>
    </x:row>
    <x:row r="13">
      <x:c r="A13" s="58" t="n">
        <x:v>46266</x:v>
      </x:c>
      <x:c r="B13" s="42" t="n">
        <x:f>K12</x:f>
        <x:v>1171000</x:v>
      </x:c>
      <x:c r="C13" s="42" t="n">
        <x:v>390000</x:v>
      </x:c>
      <x:c r="D13" s="42" t="n">
        <x:v>0</x:v>
      </x:c>
      <x:c r="E13" s="42" t="n">
        <x:v>90000</x:v>
      </x:c>
      <x:c r="F13" s="42" t="n">
        <x:v>165000</x:v>
      </x:c>
      <x:c r="G13" s="42" t="n">
        <x:v>50000</x:v>
      </x:c>
      <x:c r="H13" s="42" t="n">
        <x:v>15000</x:v>
      </x:c>
      <x:c r="I13" s="42" t="n">
        <x:v>0</x:v>
      </x:c>
      <x:c r="J13" s="38" t="n">
        <x:f>C13+D13-SUM(E13:I13)</x:f>
        <x:v>70000</x:v>
      </x:c>
      <x:c r="K13" s="38" t="n">
        <x:f>B13+J13</x:f>
        <x:v>1241000</x:v>
      </x:c>
      <x:c r="L13" s="38" t="n">
        <x:v>500000</x:v>
      </x:c>
      <x:c r="M13" s="38" t="n">
        <x:f>MAX(0,L13-K13)</x:f>
        <x:v>0</x:v>
      </x:c>
      <x:c r="N13" t="str">
        <x:v>Forecast</x:v>
      </x:c>
    </x:row>
    <x:row r="14">
      <x:c r="A14" s="58" t="n">
        <x:v>46296</x:v>
      </x:c>
      <x:c r="B14" s="42" t="n">
        <x:f>K13</x:f>
        <x:v>1241000</x:v>
      </x:c>
      <x:c r="C14" s="42" t="n">
        <x:v>400000</x:v>
      </x:c>
      <x:c r="D14" s="42" t="n">
        <x:v>0</x:v>
      </x:c>
      <x:c r="E14" s="42" t="n">
        <x:v>90000</x:v>
      </x:c>
      <x:c r="F14" s="42" t="n">
        <x:v>170000</x:v>
      </x:c>
      <x:c r="G14" s="42" t="n">
        <x:v>52000</x:v>
      </x:c>
      <x:c r="H14" s="42" t="n">
        <x:v>20000</x:v>
      </x:c>
      <x:c r="I14" s="42" t="n">
        <x:v>100000</x:v>
      </x:c>
      <x:c r="J14" s="38" t="n">
        <x:f>C14+D14-SUM(E14:I14)</x:f>
        <x:v>-32000</x:v>
      </x:c>
      <x:c r="K14" s="38" t="n">
        <x:f>B14+J14</x:f>
        <x:v>1209000</x:v>
      </x:c>
      <x:c r="L14" s="38" t="n">
        <x:v>500000</x:v>
      </x:c>
      <x:c r="M14" s="38" t="n">
        <x:f>MAX(0,L14-K14)</x:f>
        <x:v>0</x:v>
      </x:c>
      <x:c r="N14" t="str">
        <x:v>Forecast</x:v>
      </x:c>
    </x:row>
    <x:row r="15">
      <x:c r="A15" s="58" t="n">
        <x:v>46327</x:v>
      </x:c>
      <x:c r="B15" s="42" t="n">
        <x:f>K14</x:f>
        <x:v>1209000</x:v>
      </x:c>
      <x:c r="C15" s="42" t="n">
        <x:v>440000</x:v>
      </x:c>
      <x:c r="D15" s="42" t="n">
        <x:v>0</x:v>
      </x:c>
      <x:c r="E15" s="42" t="n">
        <x:v>90000</x:v>
      </x:c>
      <x:c r="F15" s="42" t="n">
        <x:v>175000</x:v>
      </x:c>
      <x:c r="G15" s="42" t="n">
        <x:v>54000</x:v>
      </x:c>
      <x:c r="H15" s="42" t="n">
        <x:v>15000</x:v>
      </x:c>
      <x:c r="I15" s="42" t="n">
        <x:v>0</x:v>
      </x:c>
      <x:c r="J15" s="38" t="n">
        <x:f>C15+D15-SUM(E15:I15)</x:f>
        <x:v>106000</x:v>
      </x:c>
      <x:c r="K15" s="38" t="n">
        <x:f>B15+J15</x:f>
        <x:v>1315000</x:v>
      </x:c>
      <x:c r="L15" s="38" t="n">
        <x:v>500000</x:v>
      </x:c>
      <x:c r="M15" s="38" t="n">
        <x:f>MAX(0,L15-K15)</x:f>
        <x:v>0</x:v>
      </x:c>
      <x:c r="N15" t="str">
        <x:v>Forecast</x:v>
      </x:c>
    </x:row>
    <x:row r="16">
      <x:c r="A16" s="58" t="n">
        <x:v>46357</x:v>
      </x:c>
      <x:c r="B16" s="42" t="n">
        <x:f>K15</x:f>
        <x:v>1315000</x:v>
      </x:c>
      <x:c r="C16" s="42" t="n">
        <x:v>470000</x:v>
      </x:c>
      <x:c r="D16" s="42" t="n">
        <x:v>0</x:v>
      </x:c>
      <x:c r="E16" s="42" t="n">
        <x:v>90000</x:v>
      </x:c>
      <x:c r="F16" s="42" t="n">
        <x:v>185000</x:v>
      </x:c>
      <x:c r="G16" s="42" t="n">
        <x:v>60000</x:v>
      </x:c>
      <x:c r="H16" s="42" t="n">
        <x:v>40000</x:v>
      </x:c>
      <x:c r="I16" s="42" t="n">
        <x:v>200000</x:v>
      </x:c>
      <x:c r="J16" s="38" t="n">
        <x:f>C16+D16-SUM(E16:I16)</x:f>
        <x:v>-105000</x:v>
      </x:c>
      <x:c r="K16" s="38" t="n">
        <x:f>B16+J16</x:f>
        <x:v>1210000</x:v>
      </x:c>
      <x:c r="L16" s="38" t="n">
        <x:v>500000</x:v>
      </x:c>
      <x:c r="M16" s="38" t="n">
        <x:f>MAX(0,L16-K16)</x:f>
        <x:v>0</x:v>
      </x:c>
      <x:c r="N16" t="str">
        <x:v>Forecast</x:v>
      </x:c>
    </x:row>
  </x:sheetData>
  <x:mergeCells>
    <x:mergeCell ref="A1:N1"/>
    <x:mergeCell ref="A2:N2"/>
  </x:mergeCells>
  <x:conditionalFormatting sqref="K5:K1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f9c8c2a7b6e454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38" hidden="0" customWidth="1"/>
    <x:col min="10" max="10" width="24" hidden="0" customWidth="1"/>
    <x:col min="11" max="11" width="13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22" hidden="0" customWidth="1"/>
  </x:cols>
  <x:sheetData>
    <x:row r="1" ht="28" customHeight="1">
      <x:c r="A1" s="5" t="str">
        <x:v>Financial and Strategic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2" customHeight="1">
      <x:c r="A2" s="12" t="str">
        <x:v>Simulated register structured around risk identification, analysis, treatment, monitoring and communication.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 ht="28" customHeight="1">
      <x:c r="A4" s="20" t="str">
        <x:v>Risk ID</x:v>
      </x:c>
      <x:c r="B4" s="20" t="str">
        <x:v>Risk Title</x:v>
      </x:c>
      <x:c r="C4" s="20" t="str">
        <x:v>Category</x:v>
      </x:c>
      <x:c r="D4" s="20" t="str">
        <x:v>Description</x:v>
      </x:c>
      <x:c r="E4" s="20" t="str">
        <x:v>Likelihood (1-5)</x:v>
      </x:c>
      <x:c r="F4" s="20" t="str">
        <x:v>Impact (1-5)</x:v>
      </x:c>
      <x:c r="G4" s="20" t="str">
        <x:v>Inherent Score</x:v>
      </x:c>
      <x:c r="H4" s="20" t="str">
        <x:v>Existing Control</x:v>
      </x:c>
      <x:c r="I4" s="20" t="str">
        <x:v>Mitigation Action</x:v>
      </x:c>
      <x:c r="J4" s="20" t="str">
        <x:v>Owner</x:v>
      </x:c>
      <x:c r="K4" s="20" t="str">
        <x:v>Due Date</x:v>
      </x:c>
      <x:c r="L4" s="20" t="str">
        <x:v>Residual Likelihood</x:v>
      </x:c>
      <x:c r="M4" s="20" t="str">
        <x:v>Residual Impact</x:v>
      </x:c>
      <x:c r="N4" s="20" t="str">
        <x:v>Residual Score</x:v>
      </x:c>
      <x:c r="O4" s="20" t="str">
        <x:v>Status</x:v>
      </x:c>
      <x:c r="P4" s="20" t="str">
        <x:v>Data Classification</x:v>
      </x:c>
    </x:row>
    <x:row r="5">
      <x:c r="A5" t="str">
        <x:v>R-001</x:v>
      </x:c>
      <x:c r="B5" t="str">
        <x:v>Cash-flow shortfall</x:v>
      </x:c>
      <x:c r="C5" t="str">
        <x:v>Liquidity</x:v>
      </x:c>
      <x:c r="D5" t="str">
        <x:v>Delayed collections reduce available cash</x:v>
      </x:c>
      <x:c r="E5" t="n">
        <x:v>4</x:v>
      </x:c>
      <x:c r="F5" t="n">
        <x:v>5</x:v>
      </x:c>
      <x:c r="G5" t="n">
        <x:f>E5*F5</x:f>
        <x:v>20</x:v>
      </x:c>
      <x:c r="H5" t="str">
        <x:v>Monthly cash review</x:v>
      </x:c>
      <x:c r="I5" t="str">
        <x:v>Weekly rolling cash forecast and contingency funding</x:v>
      </x:c>
      <x:c r="J5" t="str">
        <x:v>Finance Manager</x:v>
      </x:c>
      <x:c r="K5" s="50" t="n">
        <x:v>46234</x:v>
      </x:c>
      <x:c r="L5" t="n">
        <x:v>3</x:v>
      </x:c>
      <x:c r="M5" t="n">
        <x:v>4</x:v>
      </x:c>
      <x:c r="N5" t="n">
        <x:f>L5*M5</x:f>
        <x:v>12</x:v>
      </x:c>
      <x:c r="O5" t="str">
        <x:v>Open</x:v>
      </x:c>
      <x:c r="P5" t="str">
        <x:v>Simulated pilot data</x:v>
      </x:c>
    </x:row>
    <x:row r="6">
      <x:c r="A6" t="str">
        <x:v>R-002</x:v>
      </x:c>
      <x:c r="B6" t="str">
        <x:v>High leverage pressure</x:v>
      </x:c>
      <x:c r="C6" t="str">
        <x:v>Debt</x:v>
      </x:c>
      <x:c r="D6" t="str">
        <x:v>Liabilities constrain financing flexibility</x:v>
      </x:c>
      <x:c r="E6" t="n">
        <x:v>4</x:v>
      </x:c>
      <x:c r="F6" t="n">
        <x:v>4</x:v>
      </x:c>
      <x:c r="G6" t="n">
        <x:f>E6*F6</x:f>
        <x:v>16</x:v>
      </x:c>
      <x:c r="H6" t="str">
        <x:v>Management review</x:v>
      </x:c>
      <x:c r="I6" t="str">
        <x:v>Debt repayment and refinancing plan</x:v>
      </x:c>
      <x:c r="J6" t="str">
        <x:v>CEO/Managing Director</x:v>
      </x:c>
      <x:c r="K6" s="50" t="n">
        <x:v>46265</x:v>
      </x:c>
      <x:c r="L6" t="n">
        <x:v>3</x:v>
      </x:c>
      <x:c r="M6" t="n">
        <x:v>3</x:v>
      </x:c>
      <x:c r="N6" t="n">
        <x:f>L6*M6</x:f>
        <x:v>9</x:v>
      </x:c>
      <x:c r="O6" t="str">
        <x:v>Open</x:v>
      </x:c>
      <x:c r="P6" t="str">
        <x:v>Simulated pilot data</x:v>
      </x:c>
    </x:row>
    <x:row r="7">
      <x:c r="A7" t="str">
        <x:v>R-003</x:v>
      </x:c>
      <x:c r="B7" t="str">
        <x:v>Financial data inconsistency</x:v>
      </x:c>
      <x:c r="C7" t="str">
        <x:v>Information</x:v>
      </x:c>
      <x:c r="D7" t="str">
        <x:v>Conflicting cash balances reduce decision confidence</x:v>
      </x:c>
      <x:c r="E7" t="n">
        <x:v>4</x:v>
      </x:c>
      <x:c r="F7" t="n">
        <x:v>5</x:v>
      </x:c>
      <x:c r="G7" t="n">
        <x:f>E7*F7</x:f>
        <x:v>20</x:v>
      </x:c>
      <x:c r="H7" t="str">
        <x:v>Manual review</x:v>
      </x:c>
      <x:c r="I7" t="str">
        <x:v>Reconcile statements and lock approved reporting version</x:v>
      </x:c>
      <x:c r="J7" t="str">
        <x:v>Finance Manager</x:v>
      </x:c>
      <x:c r="K7" s="50" t="n">
        <x:v>46228</x:v>
      </x:c>
      <x:c r="L7" t="n">
        <x:v>2</x:v>
      </x:c>
      <x:c r="M7" t="n">
        <x:v>3</x:v>
      </x:c>
      <x:c r="N7" t="n">
        <x:f>L7*M7</x:f>
        <x:v>6</x:v>
      </x:c>
      <x:c r="O7" t="str">
        <x:v>Open</x:v>
      </x:c>
      <x:c r="P7" t="str">
        <x:v>Derived from document review</x:v>
      </x:c>
    </x:row>
    <x:row r="8">
      <x:c r="A8" t="str">
        <x:v>R-004</x:v>
      </x:c>
      <x:c r="B8" t="str">
        <x:v>Customer payment delay</x:v>
      </x:c>
      <x:c r="C8" t="str">
        <x:v>Credit</x:v>
      </x:c>
      <x:c r="D8" t="str">
        <x:v>Receivables are collected later than forecast</x:v>
      </x:c>
      <x:c r="E8" t="n">
        <x:v>4</x:v>
      </x:c>
      <x:c r="F8" t="n">
        <x:v>4</x:v>
      </x:c>
      <x:c r="G8" t="n">
        <x:f>E8*F8</x:f>
        <x:v>16</x:v>
      </x:c>
      <x:c r="H8" t="str">
        <x:v>Invoice follow-up</x:v>
      </x:c>
      <x:c r="I8" t="str">
        <x:v>Customer ageing and collection escalation</x:v>
      </x:c>
      <x:c r="J8" t="str">
        <x:v>Finance Manager</x:v>
      </x:c>
      <x:c r="K8" s="50" t="n">
        <x:v>46249</x:v>
      </x:c>
      <x:c r="L8" t="n">
        <x:v>3</x:v>
      </x:c>
      <x:c r="M8" t="n">
        <x:v>3</x:v>
      </x:c>
      <x:c r="N8" t="n">
        <x:f>L8*M8</x:f>
        <x:v>9</x:v>
      </x:c>
      <x:c r="O8" t="str">
        <x:v>Monitoring</x:v>
      </x:c>
      <x:c r="P8" t="str">
        <x:v>Simulated pilot data</x:v>
      </x:c>
    </x:row>
    <x:row r="9">
      <x:c r="A9" t="str">
        <x:v>R-005</x:v>
      </x:c>
      <x:c r="B9" t="str">
        <x:v>Resource over-allocation</x:v>
      </x:c>
      <x:c r="C9" t="str">
        <x:v>Resource</x:v>
      </x:c>
      <x:c r="D9" t="str">
        <x:v>Critical staff are assigned beyond capacity</x:v>
      </x:c>
      <x:c r="E9" t="n">
        <x:v>4</x:v>
      </x:c>
      <x:c r="F9" t="n">
        <x:v>3</x:v>
      </x:c>
      <x:c r="G9" t="n">
        <x:f>E9*F9</x:f>
        <x:v>12</x:v>
      </x:c>
      <x:c r="H9" t="str">
        <x:v>Manager review</x:v>
      </x:c>
      <x:c r="I9" t="str">
        <x:v>Capacity plan and priority-based reallocation</x:v>
      </x:c>
      <x:c r="J9" t="str">
        <x:v>SFPMS Process Owner</x:v>
      </x:c>
      <x:c r="K9" s="50" t="n">
        <x:v>46235</x:v>
      </x:c>
      <x:c r="L9" t="n">
        <x:v>2</x:v>
      </x:c>
      <x:c r="M9" t="n">
        <x:v>3</x:v>
      </x:c>
      <x:c r="N9" t="n">
        <x:f>L9*M9</x:f>
        <x:v>6</x:v>
      </x:c>
      <x:c r="O9" t="str">
        <x:v>Open</x:v>
      </x:c>
      <x:c r="P9" t="str">
        <x:v>Derived from management review</x:v>
      </x:c>
    </x:row>
    <x:row r="10">
      <x:c r="A10" t="str">
        <x:v>R-006</x:v>
      </x:c>
      <x:c r="B10" t="str">
        <x:v>Stakeholder resistance</x:v>
      </x:c>
      <x:c r="C10" t="str">
        <x:v>Stakeholder</x:v>
      </x:c>
      <x:c r="D10" t="str">
        <x:v>Users resist new planning controls</x:v>
      </x:c>
      <x:c r="E10" t="n">
        <x:v>3</x:v>
      </x:c>
      <x:c r="F10" t="n">
        <x:v>4</x:v>
      </x:c>
      <x:c r="G10" t="n">
        <x:f>E10*F10</x:f>
        <x:v>12</x:v>
      </x:c>
      <x:c r="H10" t="str">
        <x:v>Informal communication</x:v>
      </x:c>
      <x:c r="I10" t="str">
        <x:v>Structured consultation and training</x:v>
      </x:c>
      <x:c r="J10" t="str">
        <x:v>SFPMS Process Owner</x:v>
      </x:c>
      <x:c r="K10" s="50" t="n">
        <x:v>46254</x:v>
      </x:c>
      <x:c r="L10" t="n">
        <x:v>2</x:v>
      </x:c>
      <x:c r="M10" t="n">
        <x:v>3</x:v>
      </x:c>
      <x:c r="N10" t="n">
        <x:f>L10*M10</x:f>
        <x:v>6</x:v>
      </x:c>
      <x:c r="O10" t="str">
        <x:v>Open</x:v>
      </x:c>
      <x:c r="P10" t="str">
        <x:v>Derived from questionnaire barriers</x:v>
      </x:c>
    </x:row>
    <x:row r="11">
      <x:c r="A11" t="str">
        <x:v>R-007</x:v>
      </x:c>
      <x:c r="B11" t="str">
        <x:v>Forecast error</x:v>
      </x:c>
      <x:c r="C11" t="str">
        <x:v>Financial Planning</x:v>
      </x:c>
      <x:c r="D11" t="str">
        <x:v>Weak assumptions reduce forecast reliability</x:v>
      </x:c>
      <x:c r="E11" t="n">
        <x:v>3</x:v>
      </x:c>
      <x:c r="F11" t="n">
        <x:v>4</x:v>
      </x:c>
      <x:c r="G11" t="n">
        <x:f>E11*F11</x:f>
        <x:v>12</x:v>
      </x:c>
      <x:c r="H11" t="str">
        <x:v>Spreadsheet review</x:v>
      </x:c>
      <x:c r="I11" t="str">
        <x:v>Assumption register and monthly accuracy analysis</x:v>
      </x:c>
      <x:c r="J11" t="str">
        <x:v>Finance Manager</x:v>
      </x:c>
      <x:c r="K11" s="50" t="n">
        <x:v>46266</x:v>
      </x:c>
      <x:c r="L11" t="n">
        <x:v>2</x:v>
      </x:c>
      <x:c r="M11" t="n">
        <x:v>3</x:v>
      </x:c>
      <x:c r="N11" t="n">
        <x:f>L11*M11</x:f>
        <x:v>6</x:v>
      </x:c>
      <x:c r="O11" t="str">
        <x:v>Open</x:v>
      </x:c>
      <x:c r="P11" t="str">
        <x:v>Simulated pilot data</x:v>
      </x:c>
    </x:row>
    <x:row r="12">
      <x:c r="A12" t="str">
        <x:v>R-008</x:v>
      </x:c>
      <x:c r="B12" t="str">
        <x:v>Approval delay</x:v>
      </x:c>
      <x:c r="C12" t="str">
        <x:v>Governance</x:v>
      </x:c>
      <x:c r="D12" t="str">
        <x:v>Decision gates are not completed on time</x:v>
      </x:c>
      <x:c r="E12" t="n">
        <x:v>3</x:v>
      </x:c>
      <x:c r="F12" t="n">
        <x:v>3</x:v>
      </x:c>
      <x:c r="G12" t="n">
        <x:f>E12*F12</x:f>
        <x:v>9</x:v>
      </x:c>
      <x:c r="H12" t="str">
        <x:v>Email reminders</x:v>
      </x:c>
      <x:c r="I12" t="str">
        <x:v>Automated alerts and escalation thresholds</x:v>
      </x:c>
      <x:c r="J12" t="str">
        <x:v>SFPMS Process Owner</x:v>
      </x:c>
      <x:c r="K12" s="50" t="n">
        <x:v>46244</x:v>
      </x:c>
      <x:c r="L12" t="n">
        <x:v>2</x:v>
      </x:c>
      <x:c r="M12" t="n">
        <x:v>2</x:v>
      </x:c>
      <x:c r="N12" t="n">
        <x:f>L12*M12</x:f>
        <x:v>4</x:v>
      </x:c>
      <x:c r="O12" t="str">
        <x:v>Monitoring</x:v>
      </x:c>
      <x:c r="P12" t="str">
        <x:v>Simulated pilot data</x:v>
      </x:c>
    </x:row>
    <x:row r="13">
      <x:c r="A13" t="str">
        <x:v>R-009</x:v>
      </x:c>
      <x:c r="B13" t="str">
        <x:v>Skills gap</x:v>
      </x:c>
      <x:c r="C13" t="str">
        <x:v>Human Resource</x:v>
      </x:c>
      <x:c r="D13" t="str">
        <x:v>Limited financial planning expertise reduces adoption</x:v>
      </x:c>
      <x:c r="E13" t="n">
        <x:v>4</x:v>
      </x:c>
      <x:c r="F13" t="n">
        <x:v>3</x:v>
      </x:c>
      <x:c r="G13" t="n">
        <x:f>E13*F13</x:f>
        <x:v>12</x:v>
      </x:c>
      <x:c r="H13" t="str">
        <x:v>Ad hoc support</x:v>
      </x:c>
      <x:c r="I13" t="str">
        <x:v>Five-day SFPMS training programme</x:v>
      </x:c>
      <x:c r="J13" t="str">
        <x:v>CEO/Managing Director</x:v>
      </x:c>
      <x:c r="K13" s="50" t="n">
        <x:v>46265</x:v>
      </x:c>
      <x:c r="L13" t="n">
        <x:v>2</x:v>
      </x:c>
      <x:c r="M13" t="n">
        <x:v>2</x:v>
      </x:c>
      <x:c r="N13" t="n">
        <x:f>L13*M13</x:f>
        <x:v>4</x:v>
      </x:c>
      <x:c r="O13" t="str">
        <x:v>Open</x:v>
      </x:c>
      <x:c r="P13" t="str">
        <x:v>Derived from questionnaire barriers</x:v>
      </x:c>
    </x:row>
    <x:row r="14">
      <x:c r="A14" t="str">
        <x:v>R-010</x:v>
      </x:c>
      <x:c r="B14" t="str">
        <x:v>System data loss</x:v>
      </x:c>
      <x:c r="C14" t="str">
        <x:v>Technology</x:v>
      </x:c>
      <x:c r="D14" t="str">
        <x:v>Local prototype data could be lost</x:v>
      </x:c>
      <x:c r="E14" t="n">
        <x:v>3</x:v>
      </x:c>
      <x:c r="F14" t="n">
        <x:v>5</x:v>
      </x:c>
      <x:c r="G14" t="n">
        <x:f>E14*F14</x:f>
        <x:v>15</x:v>
      </x:c>
      <x:c r="H14" t="str">
        <x:v>Manual copy</x:v>
      </x:c>
      <x:c r="I14" t="str">
        <x:v>Daily export and controlled backup</x:v>
      </x:c>
      <x:c r="J14" t="str">
        <x:v>System Administrator</x:v>
      </x:c>
      <x:c r="K14" s="50" t="n">
        <x:v>46234</x:v>
      </x:c>
      <x:c r="L14" t="n">
        <x:v>2</x:v>
      </x:c>
      <x:c r="M14" t="n">
        <x:v>3</x:v>
      </x:c>
      <x:c r="N14" t="n">
        <x:f>L14*M14</x:f>
        <x:v>6</x:v>
      </x:c>
      <x:c r="O14" t="str">
        <x:v>Open</x:v>
      </x:c>
      <x:c r="P14" t="str">
        <x:v>Pilot technical risk</x:v>
      </x:c>
    </x:row>
  </x:sheetData>
  <x:mergeCells>
    <x:mergeCell ref="A1:P1"/>
    <x:mergeCell ref="A2:P2"/>
  </x:mergeCells>
  <x:conditionalFormatting sqref="G5:G14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N5:N14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0d08ae0c3ed4f7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4" max="4" width="12" hidden="0" customWidth="1"/>
    <x:col min="5" max="5" width="12" hidden="0" customWidth="1"/>
    <x:col min="6" max="6" width="34" hidden="0" customWidth="1"/>
    <x:col min="7" max="7" width="24" hidden="0" customWidth="1"/>
    <x:col min="8" max="8" width="15" hidden="0" customWidth="1"/>
    <x:col min="9" max="9" width="24" hidden="0" customWidth="1"/>
    <x:col min="10" max="10" width="18" hidden="0" customWidth="1"/>
    <x:col min="11" max="11" width="28" hidden="0" customWidth="1"/>
    <x:col min="12" max="12" width="32" hidden="0" customWidth="1"/>
    <x:col min="13" max="13" width="16" hidden="0" customWidth="1"/>
    <x:col min="14" max="14" width="22" hidden="0" customWidth="1"/>
  </x:cols>
  <x:sheetData>
    <x:row r="1" ht="28" customHeight="1">
      <x:c r="A1" s="5" t="str">
        <x:v>Stakeholder Register and Engagement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2" t="str">
        <x:v>Simulated stakeholder records for consultation testing. Anonymize personal data where necessary.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28" customHeight="1">
      <x:c r="A4" s="20" t="str">
        <x:v>Stakeholder ID</x:v>
      </x:c>
      <x:c r="B4" s="20" t="str">
        <x:v>Stakeholder Group</x:v>
      </x:c>
      <x:c r="C4" s="20" t="str">
        <x:v>Internal/External</x:v>
      </x:c>
      <x:c r="D4" s="20" t="str">
        <x:v>Influence</x:v>
      </x:c>
      <x:c r="E4" s="20" t="str">
        <x:v>Interest</x:v>
      </x:c>
      <x:c r="F4" s="20" t="str">
        <x:v>Primary Expectation</x:v>
      </x:c>
      <x:c r="G4" s="20" t="str">
        <x:v>Engagement Method</x:v>
      </x:c>
      <x:c r="H4" s="20" t="str">
        <x:v>Frequency</x:v>
      </x:c>
      <x:c r="I4" s="20" t="str">
        <x:v>Owner</x:v>
      </x:c>
      <x:c r="J4" s="20" t="str">
        <x:v>Current Status</x:v>
      </x:c>
      <x:c r="K4" s="20" t="str">
        <x:v>Issue Raised</x:v>
      </x:c>
      <x:c r="L4" s="20" t="str">
        <x:v>Management Response</x:v>
      </x:c>
      <x:c r="M4" s="20" t="str">
        <x:v>Satisfaction (1-5)</x:v>
      </x:c>
      <x:c r="N4" s="20" t="str">
        <x:v>Data Classification</x:v>
      </x:c>
    </x:row>
    <x:row r="5">
      <x:c r="A5" t="str">
        <x:v>STK-001</x:v>
      </x:c>
      <x:c r="B5" t="str">
        <x:v>CEO/Owner</x:v>
      </x:c>
      <x:c r="C5" t="str">
        <x:v>Internal</x:v>
      </x:c>
      <x:c r="D5" t="str">
        <x:v>High</x:v>
      </x:c>
      <x:c r="E5" t="str">
        <x:v>High</x:v>
      </x:c>
      <x:c r="F5" t="str">
        <x:v>Strategic visibility and financial control</x:v>
      </x:c>
      <x:c r="G5" t="str">
        <x:v>Executive review</x:v>
      </x:c>
      <x:c r="H5" t="str">
        <x:v>Monthly</x:v>
      </x:c>
      <x:c r="I5" t="str">
        <x:v>SFPMS Process Owner</x:v>
      </x:c>
      <x:c r="J5" t="str">
        <x:v>Engaged</x:v>
      </x:c>
      <x:c r="K5" t="str"/>
      <x:c r="L5" t="str"/>
      <x:c r="M5" t="n">
        <x:v>4</x:v>
      </x:c>
      <x:c r="N5" t="str">
        <x:v>Simulated pilot data</x:v>
      </x:c>
    </x:row>
    <x:row r="6">
      <x:c r="A6" t="str">
        <x:v>STK-002</x:v>
      </x:c>
      <x:c r="B6" t="str">
        <x:v>Finance Team</x:v>
      </x:c>
      <x:c r="C6" t="str">
        <x:v>Internal</x:v>
      </x:c>
      <x:c r="D6" t="str">
        <x:v>High</x:v>
      </x:c>
      <x:c r="E6" t="str">
        <x:v>High</x:v>
      </x:c>
      <x:c r="F6" t="str">
        <x:v>Reliable data and efficient workflow</x:v>
      </x:c>
      <x:c r="G6" t="str">
        <x:v>Working session</x:v>
      </x:c>
      <x:c r="H6" t="str">
        <x:v>Weekly</x:v>
      </x:c>
      <x:c r="I6" t="str">
        <x:v>Finance Manager</x:v>
      </x:c>
      <x:c r="J6" t="str">
        <x:v>Engaged</x:v>
      </x:c>
      <x:c r="K6" t="str">
        <x:v>Data reconciliation workload</x:v>
      </x:c>
      <x:c r="L6" t="str">
        <x:v>Prioritize critical accounts</x:v>
      </x:c>
      <x:c r="M6" t="n">
        <x:v>3</x:v>
      </x:c>
      <x:c r="N6" t="str">
        <x:v>Simulated pilot data</x:v>
      </x:c>
    </x:row>
    <x:row r="7">
      <x:c r="A7" t="str">
        <x:v>STK-003</x:v>
      </x:c>
      <x:c r="B7" t="str">
        <x:v>Department Managers</x:v>
      </x:c>
      <x:c r="C7" t="str">
        <x:v>Internal</x:v>
      </x:c>
      <x:c r="D7" t="str">
        <x:v>High</x:v>
      </x:c>
      <x:c r="E7" t="str">
        <x:v>High</x:v>
      </x:c>
      <x:c r="F7" t="str">
        <x:v>Realistic budgets and resource clarity</x:v>
      </x:c>
      <x:c r="G7" t="str">
        <x:v>Planning workshop</x:v>
      </x:c>
      <x:c r="H7" t="str">
        <x:v>Monthly</x:v>
      </x:c>
      <x:c r="I7" t="str">
        <x:v>SFPMS Process Owner</x:v>
      </x:c>
      <x:c r="J7" t="str">
        <x:v>Consultation Open</x:v>
      </x:c>
      <x:c r="K7" t="str">
        <x:v>Competing priorities</x:v>
      </x:c>
      <x:c r="L7" t="str">
        <x:v>Introduce prioritization criteria</x:v>
      </x:c>
      <x:c r="M7" t="n">
        <x:v>3</x:v>
      </x:c>
      <x:c r="N7" t="str">
        <x:v>Simulated pilot data</x:v>
      </x:c>
    </x:row>
    <x:row r="8">
      <x:c r="A8" t="str">
        <x:v>STK-004</x:v>
      </x:c>
      <x:c r="B8" t="str">
        <x:v>Employees</x:v>
      </x:c>
      <x:c r="C8" t="str">
        <x:v>Internal</x:v>
      </x:c>
      <x:c r="D8" t="str">
        <x:v>Medium</x:v>
      </x:c>
      <x:c r="E8" t="str">
        <x:v>High</x:v>
      </x:c>
      <x:c r="F8" t="str">
        <x:v>Clear expectations and workload</x:v>
      </x:c>
      <x:c r="G8" t="str">
        <x:v>Town hall / survey</x:v>
      </x:c>
      <x:c r="H8" t="str">
        <x:v>Quarterly</x:v>
      </x:c>
      <x:c r="I8" t="str">
        <x:v>Department Manager</x:v>
      </x:c>
      <x:c r="J8" t="str">
        <x:v>Pending</x:v>
      </x:c>
      <x:c r="K8" t="str">
        <x:v>Change concern</x:v>
      </x:c>
      <x:c r="L8" t="str">
        <x:v>Training and communication plan</x:v>
      </x:c>
      <x:c r="M8" t="n">
        <x:v>3</x:v>
      </x:c>
      <x:c r="N8" t="str">
        <x:v>Simulated pilot data</x:v>
      </x:c>
    </x:row>
    <x:row r="9">
      <x:c r="A9" t="str">
        <x:v>STK-005</x:v>
      </x:c>
      <x:c r="B9" t="str">
        <x:v>Key Customers</x:v>
      </x:c>
      <x:c r="C9" t="str">
        <x:v>External</x:v>
      </x:c>
      <x:c r="D9" t="str">
        <x:v>High</x:v>
      </x:c>
      <x:c r="E9" t="str">
        <x:v>Medium</x:v>
      </x:c>
      <x:c r="F9" t="str">
        <x:v>Reliable service and payment terms</x:v>
      </x:c>
      <x:c r="G9" t="str">
        <x:v>Account review</x:v>
      </x:c>
      <x:c r="H9" t="str">
        <x:v>Quarterly</x:v>
      </x:c>
      <x:c r="I9" t="str">
        <x:v>CEO/Managing Director</x:v>
      </x:c>
      <x:c r="J9" t="str">
        <x:v>Pending</x:v>
      </x:c>
      <x:c r="K9" t="str"/>
      <x:c r="L9" t="str"/>
      <x:c r="M9" t="n">
        <x:v>4</x:v>
      </x:c>
      <x:c r="N9" t="str">
        <x:v>Simulated pilot data</x:v>
      </x:c>
    </x:row>
    <x:row r="10">
      <x:c r="A10" t="str">
        <x:v>STK-006</x:v>
      </x:c>
      <x:c r="B10" t="str">
        <x:v>Suppliers</x:v>
      </x:c>
      <x:c r="C10" t="str">
        <x:v>External</x:v>
      </x:c>
      <x:c r="D10" t="str">
        <x:v>Medium</x:v>
      </x:c>
      <x:c r="E10" t="str">
        <x:v>Medium</x:v>
      </x:c>
      <x:c r="F10" t="str">
        <x:v>Predictable orders and payment</x:v>
      </x:c>
      <x:c r="G10" t="str">
        <x:v>Supplier review</x:v>
      </x:c>
      <x:c r="H10" t="str">
        <x:v>Quarterly</x:v>
      </x:c>
      <x:c r="I10" t="str">
        <x:v>Finance Manager</x:v>
      </x:c>
      <x:c r="J10" t="str">
        <x:v>Pending</x:v>
      </x:c>
      <x:c r="K10" t="str">
        <x:v>Payment timing</x:v>
      </x:c>
      <x:c r="L10" t="str">
        <x:v>Publish approved payment plan</x:v>
      </x:c>
      <x:c r="M10" t="n">
        <x:v>3</x:v>
      </x:c>
      <x:c r="N10" t="str">
        <x:v>Simulated pilot data</x:v>
      </x:c>
    </x:row>
    <x:row r="11">
      <x:c r="A11" t="str">
        <x:v>STK-007</x:v>
      </x:c>
      <x:c r="B11" t="str">
        <x:v>Business Partners</x:v>
      </x:c>
      <x:c r="C11" t="str">
        <x:v>External</x:v>
      </x:c>
      <x:c r="D11" t="str">
        <x:v>High</x:v>
      </x:c>
      <x:c r="E11" t="str">
        <x:v>High</x:v>
      </x:c>
      <x:c r="F11" t="str">
        <x:v>Accurate forecasts and timely decisions</x:v>
      </x:c>
      <x:c r="G11" t="str">
        <x:v>Partner meeting</x:v>
      </x:c>
      <x:c r="H11" t="str">
        <x:v>Quarterly</x:v>
      </x:c>
      <x:c r="I11" t="str">
        <x:v>CEO/Managing Director</x:v>
      </x:c>
      <x:c r="J11" t="str">
        <x:v>Engaged</x:v>
      </x:c>
      <x:c r="K11" t="str"/>
      <x:c r="L11" t="str"/>
      <x:c r="M11" t="n">
        <x:v>4</x:v>
      </x:c>
      <x:c r="N11" t="str">
        <x:v>Simulated pilot data</x:v>
      </x:c>
    </x:row>
    <x:row r="12">
      <x:c r="A12" t="str">
        <x:v>STK-008</x:v>
      </x:c>
      <x:c r="B12" t="str">
        <x:v>Lenders/Financiers</x:v>
      </x:c>
      <x:c r="C12" t="str">
        <x:v>External</x:v>
      </x:c>
      <x:c r="D12" t="str">
        <x:v>High</x:v>
      </x:c>
      <x:c r="E12" t="str">
        <x:v>High</x:v>
      </x:c>
      <x:c r="F12" t="str">
        <x:v>Debt service visibility and credible forecasts</x:v>
      </x:c>
      <x:c r="G12" t="str">
        <x:v>Financial reporting</x:v>
      </x:c>
      <x:c r="H12" t="str">
        <x:v>Quarterly</x:v>
      </x:c>
      <x:c r="I12" t="str">
        <x:v>Finance Manager</x:v>
      </x:c>
      <x:c r="J12" t="str">
        <x:v>Not Started</x:v>
      </x:c>
      <x:c r="K12" t="str"/>
      <x:c r="L12" t="str"/>
      <x:c r="M12" t="n">
        <x:v>3</x:v>
      </x:c>
      <x:c r="N12" t="str">
        <x:v>Simulated pilot data</x:v>
      </x:c>
    </x:row>
    <x:row r="13">
      <x:c r="A13" t="str">
        <x:v>STK-009</x:v>
      </x:c>
      <x:c r="B13" t="str">
        <x:v>Tax/Regulatory Authorities</x:v>
      </x:c>
      <x:c r="C13" t="str">
        <x:v>External</x:v>
      </x:c>
      <x:c r="D13" t="str">
        <x:v>High</x:v>
      </x:c>
      <x:c r="E13" t="str">
        <x:v>Low</x:v>
      </x:c>
      <x:c r="F13" t="str">
        <x:v>Timely and compliant reporting</x:v>
      </x:c>
      <x:c r="G13" t="str">
        <x:v>Formal submission</x:v>
      </x:c>
      <x:c r="H13" t="str">
        <x:v>As required</x:v>
      </x:c>
      <x:c r="I13" t="str">
        <x:v>Finance Manager</x:v>
      </x:c>
      <x:c r="J13" t="str">
        <x:v>Monitored</x:v>
      </x:c>
      <x:c r="K13" t="str"/>
      <x:c r="L13" t="str"/>
      <x:c r="M13" t="n">
        <x:v>4</x:v>
      </x:c>
      <x:c r="N13" t="str">
        <x:v>Simulated pilot data</x:v>
      </x:c>
    </x:row>
    <x:row r="14">
      <x:c r="A14" t="str">
        <x:v>STK-010</x:v>
      </x:c>
      <x:c r="B14" t="str">
        <x:v>DBA Research Participants</x:v>
      </x:c>
      <x:c r="C14" t="str">
        <x:v>Internal</x:v>
      </x:c>
      <x:c r="D14" t="str">
        <x:v>Medium</x:v>
      </x:c>
      <x:c r="E14" t="str">
        <x:v>High</x:v>
      </x:c>
      <x:c r="F14" t="str">
        <x:v>Confidentiality and useful intervention</x:v>
      </x:c>
      <x:c r="G14" t="str">
        <x:v>Survey / feedback</x:v>
      </x:c>
      <x:c r="H14" t="str">
        <x:v>Per cycle</x:v>
      </x:c>
      <x:c r="I14" t="str">
        <x:v>Researcher</x:v>
      </x:c>
      <x:c r="J14" t="str">
        <x:v>Engaged</x:v>
      </x:c>
      <x:c r="K14" t="str"/>
      <x:c r="L14" t="str"/>
      <x:c r="M14" t="n">
        <x:v>4</x:v>
      </x:c>
      <x:c r="N14" t="str">
        <x:v>Research participant group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32b0d0fd25d47a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30" hidden="0" customWidth="1"/>
    <x:col min="5" max="5" width="12" hidden="0" customWidth="1"/>
    <x:col min="6" max="6" width="18" hidden="0" customWidth="1"/>
    <x:col min="7" max="7" width="16" hidden="0" customWidth="1"/>
    <x:col min="8" max="8" width="20" hidden="0" customWidth="1"/>
    <x:col min="9" max="9" width="12" hidden="0" customWidth="1"/>
    <x:col min="10" max="10" width="14" hidden="0" customWidth="1"/>
    <x:col min="11" max="11" width="16" hidden="0" customWidth="1"/>
    <x:col min="12" max="12" width="20" hidden="0" customWidth="1"/>
    <x:col min="13" max="13" width="24" hidden="0" customWidth="1"/>
    <x:col min="14" max="14" width="22" hidden="0" customWidth="1"/>
  </x:cols>
  <x:sheetData>
    <x:row r="1" ht="28" customHeight="1">
      <x:c r="A1" s="5" t="str">
        <x:v>Resource Capacity and Allocation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2" t="str">
        <x:v>Simulated resource requirements for the pilot. Confirm with department owners.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28" customHeight="1">
      <x:c r="A4" s="20" t="str">
        <x:v>Resource ID</x:v>
      </x:c>
      <x:c r="B4" s="20" t="str">
        <x:v>Department</x:v>
      </x:c>
      <x:c r="C4" s="20" t="str">
        <x:v>Resource Type</x:v>
      </x:c>
      <x:c r="D4" s="20" t="str">
        <x:v>Resource Description</x:v>
      </x:c>
      <x:c r="E4" s="20" t="str">
        <x:v>Available</x:v>
      </x:c>
      <x:c r="F4" s="20" t="str">
        <x:v>Required—Optimistic</x:v>
      </x:c>
      <x:c r="G4" s="20" t="str">
        <x:v>Required—Main</x:v>
      </x:c>
      <x:c r="H4" s="20" t="str">
        <x:v>Required—Pessimistic</x:v>
      </x:c>
      <x:c r="I4" s="20" t="str">
        <x:v>Allocated</x:v>
      </x:c>
      <x:c r="J4" s="20" t="str">
        <x:v>Gap—Main</x:v>
      </x:c>
      <x:c r="K4" s="20" t="str">
        <x:v>Unit Cost (XAF)</x:v>
      </x:c>
      <x:c r="L4" s="20" t="str">
        <x:v>Estimated Gap Cost (XAF)</x:v>
      </x:c>
      <x:c r="M4" s="20" t="str">
        <x:v>Owner</x:v>
      </x:c>
      <x:c r="N4" s="20" t="str">
        <x:v>Data Classification</x:v>
      </x:c>
    </x:row>
    <x:row r="5">
      <x:c r="A5" t="str">
        <x:v>RES-001</x:v>
      </x:c>
      <x:c r="B5" t="str">
        <x:v>Finance</x:v>
      </x:c>
      <x:c r="C5" t="str">
        <x:v>Human</x:v>
      </x:c>
      <x:c r="D5" t="str">
        <x:v>Financial planning staff</x:v>
      </x:c>
      <x:c r="E5" t="n">
        <x:v>5</x:v>
      </x:c>
      <x:c r="F5" t="n">
        <x:v>6</x:v>
      </x:c>
      <x:c r="G5" t="n">
        <x:v>7</x:v>
      </x:c>
      <x:c r="H5" t="n">
        <x:v>8</x:v>
      </x:c>
      <x:c r="I5" t="n">
        <x:v>5</x:v>
      </x:c>
      <x:c r="J5" t="n">
        <x:f>G5-E5</x:f>
        <x:v>2</x:v>
      </x:c>
      <x:c r="K5" s="38" t="n">
        <x:v>250000</x:v>
      </x:c>
      <x:c r="L5" s="38" t="n">
        <x:f>MAX(0,J5)*K5</x:f>
        <x:v>500000</x:v>
      </x:c>
      <x:c r="M5" t="str">
        <x:v>Finance Manager</x:v>
      </x:c>
      <x:c r="N5" t="str">
        <x:v>Simulated pilot data</x:v>
      </x:c>
    </x:row>
    <x:row r="6">
      <x:c r="A6" t="str">
        <x:v>RES-002</x:v>
      </x:c>
      <x:c r="B6" t="str">
        <x:v>Finance</x:v>
      </x:c>
      <x:c r="C6" t="str">
        <x:v>Expertise</x:v>
      </x:c>
      <x:c r="D6" t="str">
        <x:v>Forecasting and scenario expertise</x:v>
      </x:c>
      <x:c r="E6" t="n">
        <x:v>1</x:v>
      </x:c>
      <x:c r="F6" t="n">
        <x:v>1</x:v>
      </x:c>
      <x:c r="G6" t="n">
        <x:v>2</x:v>
      </x:c>
      <x:c r="H6" t="n">
        <x:v>3</x:v>
      </x:c>
      <x:c r="I6" t="n">
        <x:v>1</x:v>
      </x:c>
      <x:c r="J6" t="n">
        <x:f>G6-E6</x:f>
        <x:v>1</x:v>
      </x:c>
      <x:c r="K6" s="38" t="n">
        <x:v>300000</x:v>
      </x:c>
      <x:c r="L6" s="38" t="n">
        <x:f>MAX(0,J6)*K6</x:f>
        <x:v>300000</x:v>
      </x:c>
      <x:c r="M6" t="str">
        <x:v>Finance Manager</x:v>
      </x:c>
      <x:c r="N6" t="str">
        <x:v>Simulated pilot data</x:v>
      </x:c>
    </x:row>
    <x:row r="7">
      <x:c r="A7" t="str">
        <x:v>RES-003</x:v>
      </x:c>
      <x:c r="B7" t="str">
        <x:v>Operations</x:v>
      </x:c>
      <x:c r="C7" t="str">
        <x:v>Human</x:v>
      </x:c>
      <x:c r="D7" t="str">
        <x:v>Service delivery capacity</x:v>
      </x:c>
      <x:c r="E7" t="n">
        <x:v>12</x:v>
      </x:c>
      <x:c r="F7" t="n">
        <x:v>12</x:v>
      </x:c>
      <x:c r="G7" t="n">
        <x:v>14</x:v>
      </x:c>
      <x:c r="H7" t="n">
        <x:v>16</x:v>
      </x:c>
      <x:c r="I7" t="n">
        <x:v>12</x:v>
      </x:c>
      <x:c r="J7" t="n">
        <x:f>G7-E7</x:f>
        <x:v>2</x:v>
      </x:c>
      <x:c r="K7" s="38" t="n">
        <x:v>180000</x:v>
      </x:c>
      <x:c r="L7" s="38" t="n">
        <x:f>MAX(0,J7)*K7</x:f>
        <x:v>360000</x:v>
      </x:c>
      <x:c r="M7" t="str">
        <x:v>Department Manager</x:v>
      </x:c>
      <x:c r="N7" t="str">
        <x:v>Simulated pilot data</x:v>
      </x:c>
    </x:row>
    <x:row r="8">
      <x:c r="A8" t="str">
        <x:v>RES-004</x:v>
      </x:c>
      <x:c r="B8" t="str">
        <x:v>IT</x:v>
      </x:c>
      <x:c r="C8" t="str">
        <x:v>Technology</x:v>
      </x:c>
      <x:c r="D8" t="str">
        <x:v>User licences / hosted services</x:v>
      </x:c>
      <x:c r="E8" t="n">
        <x:v>8</x:v>
      </x:c>
      <x:c r="F8" t="n">
        <x:v>8</x:v>
      </x:c>
      <x:c r="G8" t="n">
        <x:v>10</x:v>
      </x:c>
      <x:c r="H8" t="n">
        <x:v>12</x:v>
      </x:c>
      <x:c r="I8" t="n">
        <x:v>7</x:v>
      </x:c>
      <x:c r="J8" t="n">
        <x:f>G8-E8</x:f>
        <x:v>2</x:v>
      </x:c>
      <x:c r="K8" s="38" t="n">
        <x:v>50000</x:v>
      </x:c>
      <x:c r="L8" s="38" t="n">
        <x:f>MAX(0,J8)*K8</x:f>
        <x:v>100000</x:v>
      </x:c>
      <x:c r="M8" t="str">
        <x:v>System Administrator</x:v>
      </x:c>
      <x:c r="N8" t="str">
        <x:v>Simulated pilot data</x:v>
      </x:c>
    </x:row>
    <x:row r="9">
      <x:c r="A9" t="str">
        <x:v>RES-005</x:v>
      </x:c>
      <x:c r="B9" t="str">
        <x:v>IT</x:v>
      </x:c>
      <x:c r="C9" t="str">
        <x:v>Equipment</x:v>
      </x:c>
      <x:c r="D9" t="str">
        <x:v>Reliable workstations</x:v>
      </x:c>
      <x:c r="E9" t="n">
        <x:v>6</x:v>
      </x:c>
      <x:c r="F9" t="n">
        <x:v>6</x:v>
      </x:c>
      <x:c r="G9" t="n">
        <x:v>8</x:v>
      </x:c>
      <x:c r="H9" t="n">
        <x:v>10</x:v>
      </x:c>
      <x:c r="I9" t="n">
        <x:v>6</x:v>
      </x:c>
      <x:c r="J9" t="n">
        <x:f>G9-E9</x:f>
        <x:v>2</x:v>
      </x:c>
      <x:c r="K9" s="38" t="n">
        <x:v>350000</x:v>
      </x:c>
      <x:c r="L9" s="38" t="n">
        <x:f>MAX(0,J9)*K9</x:f>
        <x:v>700000</x:v>
      </x:c>
      <x:c r="M9" t="str">
        <x:v>System Administrator</x:v>
      </x:c>
      <x:c r="N9" t="str">
        <x:v>Simulated pilot data</x:v>
      </x:c>
    </x:row>
    <x:row r="10">
      <x:c r="A10" t="str">
        <x:v>RES-006</x:v>
      </x:c>
      <x:c r="B10" t="str">
        <x:v>Corporate</x:v>
      </x:c>
      <x:c r="C10" t="str">
        <x:v>Financial</x:v>
      </x:c>
      <x:c r="D10" t="str">
        <x:v>Available implementation funding</x:v>
      </x:c>
      <x:c r="E10" t="n">
        <x:v>5000000</x:v>
      </x:c>
      <x:c r="F10" t="n">
        <x:v>4500000</x:v>
      </x:c>
      <x:c r="G10" t="n">
        <x:v>6200000</x:v>
      </x:c>
      <x:c r="H10" t="n">
        <x:v>7500000</x:v>
      </x:c>
      <x:c r="I10" t="n">
        <x:v>4800000</x:v>
      </x:c>
      <x:c r="J10" t="n">
        <x:f>G10-E10</x:f>
        <x:v>1200000</x:v>
      </x:c>
      <x:c r="K10" s="38" t="n">
        <x:v>1</x:v>
      </x:c>
      <x:c r="L10" s="38" t="n">
        <x:f>MAX(0,J10)*K10</x:f>
        <x:v>1200000</x:v>
      </x:c>
      <x:c r="M10" t="str">
        <x:v>CEO/Managing Director</x:v>
      </x:c>
      <x:c r="N10" t="str">
        <x:v>Simulated pilot data</x:v>
      </x:c>
    </x:row>
    <x:row r="11">
      <x:c r="A11" t="str">
        <x:v>RES-007</x:v>
      </x:c>
      <x:c r="B11" t="str">
        <x:v>Corporate</x:v>
      </x:c>
      <x:c r="C11" t="str">
        <x:v>Time</x:v>
      </x:c>
      <x:c r="D11" t="str">
        <x:v>Management review hours per month</x:v>
      </x:c>
      <x:c r="E11" t="n">
        <x:v>16</x:v>
      </x:c>
      <x:c r="F11" t="n">
        <x:v>12</x:v>
      </x:c>
      <x:c r="G11" t="n">
        <x:v>18</x:v>
      </x:c>
      <x:c r="H11" t="n">
        <x:v>24</x:v>
      </x:c>
      <x:c r="I11" t="n">
        <x:v>14</x:v>
      </x:c>
      <x:c r="J11" t="n">
        <x:f>G11-E11</x:f>
        <x:v>2</x:v>
      </x:c>
      <x:c r="K11" s="38" t="n">
        <x:v>25000</x:v>
      </x:c>
      <x:c r="L11" s="38" t="n">
        <x:f>MAX(0,J11)*K11</x:f>
        <x:v>50000</x:v>
      </x:c>
      <x:c r="M11" t="str">
        <x:v>SFPMS Process Owner</x:v>
      </x:c>
      <x:c r="N11" t="str">
        <x:v>Simulated pilot data</x:v>
      </x:c>
    </x:row>
    <x:row r="12">
      <x:c r="A12" t="str">
        <x:v>RES-008</x:v>
      </x:c>
      <x:c r="B12" t="str">
        <x:v>All Departments</x:v>
      </x:c>
      <x:c r="C12" t="str">
        <x:v>Training</x:v>
      </x:c>
      <x:c r="D12" t="str">
        <x:v>SFPMS training places</x:v>
      </x:c>
      <x:c r="E12" t="n">
        <x:v>8</x:v>
      </x:c>
      <x:c r="F12" t="n">
        <x:v>8</x:v>
      </x:c>
      <x:c r="G12" t="n">
        <x:v>12</x:v>
      </x:c>
      <x:c r="H12" t="n">
        <x:v>15</x:v>
      </x:c>
      <x:c r="I12" t="n">
        <x:v>8</x:v>
      </x:c>
      <x:c r="J12" t="n">
        <x:f>G12-E12</x:f>
        <x:v>4</x:v>
      </x:c>
      <x:c r="K12" s="38" t="n">
        <x:v>75000</x:v>
      </x:c>
      <x:c r="L12" s="38" t="n">
        <x:f>MAX(0,J12)*K12</x:f>
        <x:v>300000</x:v>
      </x:c>
      <x:c r="M12" t="str">
        <x:v>SFPMS Process Owner</x:v>
      </x:c>
      <x:c r="N12" t="str">
        <x:v>Simulated pilot data</x:v>
      </x:c>
    </x:row>
    <x:row r="13">
      <x:c r="A13" t="str">
        <x:v>RES-009</x:v>
      </x:c>
      <x:c r="B13" t="str">
        <x:v>Risk/Internal Control</x:v>
      </x:c>
      <x:c r="C13" t="str">
        <x:v>Human</x:v>
      </x:c>
      <x:c r="D13" t="str">
        <x:v>Risk and control support</x:v>
      </x:c>
      <x:c r="E13" t="n">
        <x:v>1</x:v>
      </x:c>
      <x:c r="F13" t="n">
        <x:v>1</x:v>
      </x:c>
      <x:c r="G13" t="n">
        <x:v>2</x:v>
      </x:c>
      <x:c r="H13" t="n">
        <x:v>2</x:v>
      </x:c>
      <x:c r="I13" t="n">
        <x:v>1</x:v>
      </x:c>
      <x:c r="J13" t="n">
        <x:f>G13-E13</x:f>
        <x:v>1</x:v>
      </x:c>
      <x:c r="K13" s="38" t="n">
        <x:v>250000</x:v>
      </x:c>
      <x:c r="L13" s="38" t="n">
        <x:f>MAX(0,J13)*K13</x:f>
        <x:v>250000</x:v>
      </x:c>
      <x:c r="M13" t="str">
        <x:v>Risk/Internal Control Officer</x:v>
      </x:c>
      <x:c r="N13" t="str">
        <x:v>Simulated pilot data</x:v>
      </x:c>
    </x:row>
    <x:row r="14">
      <x:c r="A14" t="str">
        <x:v>RES-010</x:v>
      </x:c>
      <x:c r="B14" t="str">
        <x:v>Stakeholder Management</x:v>
      </x:c>
      <x:c r="C14" t="str">
        <x:v>Time</x:v>
      </x:c>
      <x:c r="D14" t="str">
        <x:v>Consultation hours per month</x:v>
      </x:c>
      <x:c r="E14" t="n">
        <x:v>8</x:v>
      </x:c>
      <x:c r="F14" t="n">
        <x:v>8</x:v>
      </x:c>
      <x:c r="G14" t="n">
        <x:v>12</x:v>
      </x:c>
      <x:c r="H14" t="n">
        <x:v>16</x:v>
      </x:c>
      <x:c r="I14" t="n">
        <x:v>6</x:v>
      </x:c>
      <x:c r="J14" t="n">
        <x:f>G14-E14</x:f>
        <x:v>4</x:v>
      </x:c>
      <x:c r="K14" s="38" t="n">
        <x:v>20000</x:v>
      </x:c>
      <x:c r="L14" s="38" t="n">
        <x:f>MAX(0,J14)*K14</x:f>
        <x:v>80000</x:v>
      </x:c>
      <x:c r="M14" t="str">
        <x:v>SFPMS Process Owner</x:v>
      </x:c>
      <x:c r="N14" t="str">
        <x:v>Simulated pilot data</x:v>
      </x:c>
    </x:row>
  </x:sheetData>
  <x:mergeCells>
    <x:mergeCell ref="A1:N1"/>
    <x:mergeCell ref="A2:N2"/>
  </x:mergeCells>
  <x:conditionalFormatting sqref="J5:J14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346e4962d14a1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32" hidden="0" customWidth="1"/>
    <x:col min="8" max="8" width="28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34" hidden="0" customWidth="1"/>
    <x:col min="14" max="14" width="22" hidden="0" customWidth="1"/>
  </x:cols>
  <x:sheetData>
    <x:row r="1" ht="28" customHeight="1">
      <x:c r="A1" s="5" t="str">
        <x:v>SFPMS Workflow and Decision Gates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2" t="str">
        <x:v>Pilot workflow and evidence requirements. Dates and statuses are simulated.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 ht="28" customHeight="1">
      <x:c r="A4" s="20" t="str">
        <x:v>Activity ID</x:v>
      </x:c>
      <x:c r="B4" s="20" t="str">
        <x:v>Phase</x:v>
      </x:c>
      <x:c r="C4" s="20" t="str">
        <x:v>Activity</x:v>
      </x:c>
      <x:c r="D4" s="20" t="str">
        <x:v>Responsible Role</x:v>
      </x:c>
      <x:c r="E4" s="20" t="str">
        <x:v>Reviewer</x:v>
      </x:c>
      <x:c r="F4" s="20" t="str">
        <x:v>Approver</x:v>
      </x:c>
      <x:c r="G4" s="20" t="str">
        <x:v>Evidence Required</x:v>
      </x:c>
      <x:c r="H4" s="20" t="str">
        <x:v>Gate</x:v>
      </x:c>
      <x:c r="I4" s="20" t="str">
        <x:v>Planned Date</x:v>
      </x:c>
      <x:c r="J4" s="20" t="str">
        <x:v>Actual Date</x:v>
      </x:c>
      <x:c r="K4" s="20" t="str">
        <x:v>Status</x:v>
      </x:c>
      <x:c r="L4" s="20" t="str">
        <x:v>Evidence Complete (%)</x:v>
      </x:c>
      <x:c r="M4" s="20" t="str">
        <x:v>Comments</x:v>
      </x:c>
      <x:c r="N4" s="20" t="str">
        <x:v>Data Classification</x:v>
      </x:c>
    </x:row>
    <x:row r="5">
      <x:c r="A5" t="str">
        <x:v>ACT-001</x:v>
      </x:c>
      <x:c r="B5" t="str">
        <x:v>Initiate &amp; Plan</x:v>
      </x:c>
      <x:c r="C5" t="str">
        <x:v>Confirm strategic priorities</x:v>
      </x:c>
      <x:c r="D5" t="str">
        <x:v>CEO/Managing Director</x:v>
      </x:c>
      <x:c r="E5" t="str">
        <x:v>SFP Committee Member</x:v>
      </x:c>
      <x:c r="F5" t="str">
        <x:v>CEO/Managing Director</x:v>
      </x:c>
      <x:c r="G5" t="str">
        <x:v>Approved objectives</x:v>
      </x:c>
      <x:c r="H5" t="str">
        <x:v>G1 Strategic Fit</x:v>
      </x:c>
      <x:c r="I5" s="50" t="n">
        <x:v>46223</x:v>
      </x:c>
      <x:c r="J5" s="50"/>
      <x:c r="K5" t="str">
        <x:v>Complete</x:v>
      </x:c>
      <x:c r="L5" t="n">
        <x:v>100</x:v>
      </x:c>
      <x:c r="M5" t="str"/>
      <x:c r="N5" t="str">
        <x:v>Simulated pilot data</x:v>
      </x:c>
    </x:row>
    <x:row r="6">
      <x:c r="A6" t="str">
        <x:v>ACT-002</x:v>
      </x:c>
      <x:c r="B6" t="str">
        <x:v>Initiate &amp; Plan</x:v>
      </x:c>
      <x:c r="C6" t="str">
        <x:v>Approve planning calendar</x:v>
      </x:c>
      <x:c r="D6" t="str">
        <x:v>SFPMS Process Owner</x:v>
      </x:c>
      <x:c r="E6" t="str">
        <x:v>SFP Committee Member</x:v>
      </x:c>
      <x:c r="F6" t="str">
        <x:v>CEO/Managing Director</x:v>
      </x:c>
      <x:c r="G6" t="str">
        <x:v>Planning calendar</x:v>
      </x:c>
      <x:c r="H6" t="str">
        <x:v>G1 Strategic Fit</x:v>
      </x:c>
      <x:c r="I6" s="50" t="n">
        <x:v>46224</x:v>
      </x:c>
      <x:c r="J6" s="50"/>
      <x:c r="K6" t="str">
        <x:v>Complete</x:v>
      </x:c>
      <x:c r="L6" t="n">
        <x:v>100</x:v>
      </x:c>
      <x:c r="M6" t="str"/>
      <x:c r="N6" t="str">
        <x:v>Simulated pilot data</x:v>
      </x:c>
    </x:row>
    <x:row r="7">
      <x:c r="A7" t="str">
        <x:v>ACT-003</x:v>
      </x:c>
      <x:c r="B7" t="str">
        <x:v>Analyse &amp; Develop Options</x:v>
      </x:c>
      <x:c r="C7" t="str">
        <x:v>Validate financial data</x:v>
      </x:c>
      <x:c r="D7" t="str">
        <x:v>Finance Manager</x:v>
      </x:c>
      <x:c r="E7" t="str">
        <x:v>Internal Auditor/Reviewer</x:v>
      </x:c>
      <x:c r="F7" t="str">
        <x:v>Finance Manager</x:v>
      </x:c>
      <x:c r="G7" t="str">
        <x:v>Reconciliation report</x:v>
      </x:c>
      <x:c r="H7" t="str">
        <x:v>G2 Information Valid</x:v>
      </x:c>
      <x:c r="I7" s="50" t="n">
        <x:v>46228</x:v>
      </x:c>
      <x:c r="J7" s="50"/>
      <x:c r="K7" t="str">
        <x:v>In Progress</x:v>
      </x:c>
      <x:c r="L7" t="n">
        <x:v>80</x:v>
      </x:c>
      <x:c r="M7" t="str">
        <x:v>Cash reconciliation pending</x:v>
      </x:c>
      <x:c r="N7" t="str">
        <x:v>Simulated pilot data</x:v>
      </x:c>
    </x:row>
    <x:row r="8">
      <x:c r="A8" t="str">
        <x:v>ACT-004</x:v>
      </x:c>
      <x:c r="B8" t="str">
        <x:v>Analyse &amp; Develop Options</x:v>
      </x:c>
      <x:c r="C8" t="str">
        <x:v>Prepare three scenarios</x:v>
      </x:c>
      <x:c r="D8" t="str">
        <x:v>Finance Manager</x:v>
      </x:c>
      <x:c r="E8" t="str">
        <x:v>SFP Committee Member</x:v>
      </x:c>
      <x:c r="F8" t="str">
        <x:v>SFP Committee Member</x:v>
      </x:c>
      <x:c r="G8" t="str">
        <x:v>Scenario assumption register</x:v>
      </x:c>
      <x:c r="H8" t="str">
        <x:v>G3 Financially Feasible</x:v>
      </x:c>
      <x:c r="I8" s="50" t="n">
        <x:v>46232</x:v>
      </x:c>
      <x:c r="J8" s="50"/>
      <x:c r="K8" t="str">
        <x:v>In Progress</x:v>
      </x:c>
      <x:c r="L8" t="n">
        <x:v>70</x:v>
      </x:c>
      <x:c r="M8" t="str"/>
      <x:c r="N8" t="str">
        <x:v>Simulated pilot data</x:v>
      </x:c>
    </x:row>
    <x:row r="9">
      <x:c r="A9" t="str">
        <x:v>ACT-005</x:v>
      </x:c>
      <x:c r="B9" t="str">
        <x:v>Analyse &amp; Develop Options</x:v>
      </x:c>
      <x:c r="C9" t="str">
        <x:v>Assess financial risks</x:v>
      </x:c>
      <x:c r="D9" t="str">
        <x:v>Risk/Internal Control Officer</x:v>
      </x:c>
      <x:c r="E9" t="str">
        <x:v>Internal Auditor/Reviewer</x:v>
      </x:c>
      <x:c r="F9" t="str">
        <x:v>SFP Committee Member</x:v>
      </x:c>
      <x:c r="G9" t="str">
        <x:v>Risk register</x:v>
      </x:c>
      <x:c r="H9" t="str">
        <x:v>G4 Risk Acceptable</x:v>
      </x:c>
      <x:c r="I9" s="50" t="n">
        <x:v>46234</x:v>
      </x:c>
      <x:c r="J9" s="50"/>
      <x:c r="K9" t="str">
        <x:v>In Progress</x:v>
      </x:c>
      <x:c r="L9" t="n">
        <x:v>60</x:v>
      </x:c>
      <x:c r="M9" t="str">
        <x:v>Liquidity risk requires treatment</x:v>
      </x:c>
      <x:c r="N9" t="str">
        <x:v>Simulated pilot data</x:v>
      </x:c>
    </x:row>
    <x:row r="10">
      <x:c r="A10" t="str">
        <x:v>ACT-006</x:v>
      </x:c>
      <x:c r="B10" t="str">
        <x:v>Plan &amp; Approve</x:v>
      </x:c>
      <x:c r="C10" t="str">
        <x:v>Consult stakeholders</x:v>
      </x:c>
      <x:c r="D10" t="str">
        <x:v>SFPMS Process Owner</x:v>
      </x:c>
      <x:c r="E10" t="str">
        <x:v>SFP Committee Member</x:v>
      </x:c>
      <x:c r="F10" t="str">
        <x:v>SFP Committee Member</x:v>
      </x:c>
      <x:c r="G10" t="str">
        <x:v>Consultation record</x:v>
      </x:c>
      <x:c r="H10" t="str">
        <x:v>G5 Stakeholders &amp; Resources Ready</x:v>
      </x:c>
      <x:c r="I10" s="50" t="n">
        <x:v>46239</x:v>
      </x:c>
      <x:c r="J10" s="50"/>
      <x:c r="K10" t="str">
        <x:v>Pending</x:v>
      </x:c>
      <x:c r="L10" t="n">
        <x:v>40</x:v>
      </x:c>
      <x:c r="M10" t="str"/>
      <x:c r="N10" t="str">
        <x:v>Simulated pilot data</x:v>
      </x:c>
    </x:row>
    <x:row r="11">
      <x:c r="A11" t="str">
        <x:v>ACT-007</x:v>
      </x:c>
      <x:c r="B11" t="str">
        <x:v>Plan &amp; Approve</x:v>
      </x:c>
      <x:c r="C11" t="str">
        <x:v>Confirm resource allocation</x:v>
      </x:c>
      <x:c r="D11" t="str">
        <x:v>Department Manager</x:v>
      </x:c>
      <x:c r="E11" t="str">
        <x:v>Finance Manager</x:v>
      </x:c>
      <x:c r="F11" t="str">
        <x:v>SFP Committee Member</x:v>
      </x:c>
      <x:c r="G11" t="str">
        <x:v>Resource plan</x:v>
      </x:c>
      <x:c r="H11" t="str">
        <x:v>G5 Stakeholders &amp; Resources Ready</x:v>
      </x:c>
      <x:c r="I11" s="50" t="n">
        <x:v>46241</x:v>
      </x:c>
      <x:c r="J11" s="50"/>
      <x:c r="K11" t="str">
        <x:v>Pending</x:v>
      </x:c>
      <x:c r="L11" t="n">
        <x:v>35</x:v>
      </x:c>
      <x:c r="M11" t="str"/>
      <x:c r="N11" t="str">
        <x:v>Simulated pilot data</x:v>
      </x:c>
    </x:row>
    <x:row r="12">
      <x:c r="A12" t="str">
        <x:v>ACT-008</x:v>
      </x:c>
      <x:c r="B12" t="str">
        <x:v>Plan &amp; Approve</x:v>
      </x:c>
      <x:c r="C12" t="str">
        <x:v>Approve strategic financial plan</x:v>
      </x:c>
      <x:c r="D12" t="str">
        <x:v>SFP Committee Member</x:v>
      </x:c>
      <x:c r="E12" t="str">
        <x:v>Internal Auditor/Reviewer</x:v>
      </x:c>
      <x:c r="F12" t="str">
        <x:v>CEO/Managing Director</x:v>
      </x:c>
      <x:c r="G12" t="str">
        <x:v>Final plan and decision memo</x:v>
      </x:c>
      <x:c r="H12" t="str">
        <x:v>G6 Authorized</x:v>
      </x:c>
      <x:c r="I12" s="50" t="n">
        <x:v>46246</x:v>
      </x:c>
      <x:c r="J12" s="50"/>
      <x:c r="K12" t="str">
        <x:v>Not Started</x:v>
      </x:c>
      <x:c r="L12" t="n">
        <x:v>0</x:v>
      </x:c>
      <x:c r="M12" t="str"/>
      <x:c r="N12" t="str">
        <x:v>Simulated pilot data</x:v>
      </x:c>
    </x:row>
    <x:row r="13">
      <x:c r="A13" t="str">
        <x:v>ACT-009</x:v>
      </x:c>
      <x:c r="B13" t="str">
        <x:v>Execute &amp; Monitor</x:v>
      </x:c>
      <x:c r="C13" t="str">
        <x:v>Monitor budget and cash flow</x:v>
      </x:c>
      <x:c r="D13" t="str">
        <x:v>Finance Manager</x:v>
      </x:c>
      <x:c r="E13" t="str">
        <x:v>SFPMS Process Owner</x:v>
      </x:c>
      <x:c r="F13" t="str">
        <x:v>CEO/Managing Director</x:v>
      </x:c>
      <x:c r="G13" t="str">
        <x:v>Monthly dashboard</x:v>
      </x:c>
      <x:c r="H13" t="str">
        <x:v>Operational Monitoring</x:v>
      </x:c>
      <x:c r="I13" s="50" t="n">
        <x:v>46265</x:v>
      </x:c>
      <x:c r="J13" s="50"/>
      <x:c r="K13" t="str">
        <x:v>Not Started</x:v>
      </x:c>
      <x:c r="L13" t="n">
        <x:v>0</x:v>
      </x:c>
      <x:c r="M13" t="str">
        <x:v>Recurring monthly</x:v>
      </x:c>
      <x:c r="N13" t="str">
        <x:v>Simulated pilot data</x:v>
      </x:c>
    </x:row>
    <x:row r="14">
      <x:c r="A14" t="str">
        <x:v>ACT-010</x:v>
      </x:c>
      <x:c r="B14" t="str">
        <x:v>Review &amp; Adapt</x:v>
      </x:c>
      <x:c r="C14" t="str">
        <x:v>Evaluate pilot cycle</x:v>
      </x:c>
      <x:c r="D14" t="str">
        <x:v>Researcher</x:v>
      </x:c>
      <x:c r="E14" t="str">
        <x:v>Internal Auditor/Reviewer</x:v>
      </x:c>
      <x:c r="F14" t="str">
        <x:v>CEO/Managing Director</x:v>
      </x:c>
      <x:c r="G14" t="str">
        <x:v>Post-intervention analysis</x:v>
      </x:c>
      <x:c r="H14" t="str">
        <x:v>Action Research Review</x:v>
      </x:c>
      <x:c r="I14" s="50" t="n">
        <x:v>46371</x:v>
      </x:c>
      <x:c r="J14" s="50"/>
      <x:c r="K14" t="str">
        <x:v>Not Started</x:v>
      </x:c>
      <x:c r="L14" t="n">
        <x:v>0</x:v>
      </x:c>
      <x:c r="M14" t="str"/>
      <x:c r="N14" t="str">
        <x:v>Simulated pilot data</x:v>
      </x:c>
    </x:row>
  </x:sheetData>
  <x:mergeCells>
    <x:mergeCell ref="A1:N1"/>
    <x:mergeCell ref="A2:N2"/>
  </x:mergeCells>
  <x:conditionalFormatting sqref="L5:L14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{448D6F2F-24CA-7F57-44FA-B025902C7D3D}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3f3f1acca484b8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48D6F2F-24CA-7F57-44FA-B025902C7D3D}">
            <x14:dataBar gradient="1">
              <x14:cfvo type="min"/>
              <x14:cfvo type="max"/>
              <x14:fillColor rgb="FF2563EB"/>
            </x14:dataBar>
          </x14:cfRule>
          <xm:sqref>L5:L14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8" hidden="0" customWidth="1"/>
    <x:col min="4" max="4" width="44" hidden="0" customWidth="1"/>
    <x:col min="5" max="5" width="24" hidden="0" customWidth="1"/>
    <x:col min="6" max="6" width="12" hidden="0" customWidth="1"/>
    <x:col min="7" max="7" width="13" hidden="0" customWidth="1"/>
    <x:col min="8" max="8" width="13" hidden="0" customWidth="1"/>
    <x:col min="9" max="9" width="16" hidden="0" customWidth="1"/>
    <x:col min="10" max="10" width="16" hidden="0" customWidth="1"/>
    <x:col min="11" max="11" width="30" hidden="0" customWidth="1"/>
    <x:col min="12" max="12" width="24" hidden="0" customWidth="1"/>
  </x:cols>
  <x:sheetData>
    <x:row r="1" ht="28" customHeight="1">
      <x:c r="A1" s="5" t="str">
        <x:v>Corrective Action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2" t="str">
        <x:v>Actions generated from research findings, document review and pilot risks.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8" customHeight="1">
      <x:c r="A4" s="20" t="str">
        <x:v>Action ID</x:v>
      </x:c>
      <x:c r="B4" s="20" t="str">
        <x:v>Source Finding</x:v>
      </x:c>
      <x:c r="C4" s="20" t="str">
        <x:v>Capability</x:v>
      </x:c>
      <x:c r="D4" s="20" t="str">
        <x:v>Corrective Action</x:v>
      </x:c>
      <x:c r="E4" s="20" t="str">
        <x:v>Owner</x:v>
      </x:c>
      <x:c r="F4" s="20" t="str">
        <x:v>Priority</x:v>
      </x:c>
      <x:c r="G4" s="20" t="str">
        <x:v>Start Date</x:v>
      </x:c>
      <x:c r="H4" s="20" t="str">
        <x:v>Due Date</x:v>
      </x:c>
      <x:c r="I4" s="20" t="str">
        <x:v>Status</x:v>
      </x:c>
      <x:c r="J4" s="20" t="str">
        <x:v>Completion (%)</x:v>
      </x:c>
      <x:c r="K4" s="20" t="str">
        <x:v>Evidence</x:v>
      </x:c>
      <x:c r="L4" s="20" t="str">
        <x:v>Data Classification</x:v>
      </x:c>
    </x:row>
    <x:row r="5">
      <x:c r="A5" t="str">
        <x:v>CA-001</x:v>
      </x:c>
      <x:c r="B5" t="str">
        <x:v>Unclear financial roles</x:v>
      </x:c>
      <x:c r="C5" t="str">
        <x:v>Financial Leadership Quality</x:v>
      </x:c>
      <x:c r="D5" t="str">
        <x:v>Approve SFPMS governance charter and decision rights</x:v>
      </x:c>
      <x:c r="E5" t="str">
        <x:v>CEO/Managing Director</x:v>
      </x:c>
      <x:c r="F5" t="str">
        <x:v>Critical</x:v>
      </x:c>
      <x:c r="G5" s="50" t="n">
        <x:v>46223</x:v>
      </x:c>
      <x:c r="H5" s="50" t="n">
        <x:v>46239</x:v>
      </x:c>
      <x:c r="I5" t="str">
        <x:v>In Progress</x:v>
      </x:c>
      <x:c r="J5" t="n">
        <x:v>50</x:v>
      </x:c>
      <x:c r="K5" t="str">
        <x:v>Draft governance charter</x:v>
      </x:c>
      <x:c r="L5" t="str">
        <x:v>Derived from document review</x:v>
      </x:c>
    </x:row>
    <x:row r="6">
      <x:c r="A6" t="str">
        <x:v>CA-002</x:v>
      </x:c>
      <x:c r="B6" t="str">
        <x:v>Inconsistent financial reports</x:v>
      </x:c>
      <x:c r="C6" t="str">
        <x:v>Financial Information Quality</x:v>
      </x:c>
      <x:c r="D6" t="str">
        <x:v>Complete reconciliation and introduce report validation checklist</x:v>
      </x:c>
      <x:c r="E6" t="str">
        <x:v>Finance Manager</x:v>
      </x:c>
      <x:c r="F6" t="str">
        <x:v>Critical</x:v>
      </x:c>
      <x:c r="G6" s="50" t="n">
        <x:v>46223</x:v>
      </x:c>
      <x:c r="H6" s="50" t="n">
        <x:v>46234</x:v>
      </x:c>
      <x:c r="I6" t="str">
        <x:v>In Progress</x:v>
      </x:c>
      <x:c r="J6" t="n">
        <x:v>60</x:v>
      </x:c>
      <x:c r="K6" t="str">
        <x:v>Reconciliation report</x:v>
      </x:c>
      <x:c r="L6" t="str">
        <x:v>Derived from financial-report review</x:v>
      </x:c>
    </x:row>
    <x:row r="7">
      <x:c r="A7" t="str">
        <x:v>CA-003</x:v>
      </x:c>
      <x:c r="B7" t="str">
        <x:v>Weak formal risk procedures</x:v>
      </x:c>
      <x:c r="C7" t="str">
        <x:v>Financial Risk Management</x:v>
      </x:c>
      <x:c r="D7" t="str">
        <x:v>Approve risk methodology, register and monthly review</x:v>
      </x:c>
      <x:c r="E7" t="str">
        <x:v>Risk/Internal Control Officer</x:v>
      </x:c>
      <x:c r="F7" t="str">
        <x:v>High</x:v>
      </x:c>
      <x:c r="G7" s="50" t="n">
        <x:v>46225</x:v>
      </x:c>
      <x:c r="H7" s="50" t="n">
        <x:v>46249</x:v>
      </x:c>
      <x:c r="I7" t="str">
        <x:v>In Progress</x:v>
      </x:c>
      <x:c r="J7" t="n">
        <x:v>40</x:v>
      </x:c>
      <x:c r="K7" t="str">
        <x:v>Risk register</x:v>
      </x:c>
      <x:c r="L7" t="str">
        <x:v>Derived from document review</x:v>
      </x:c>
    </x:row>
    <x:row r="8">
      <x:c r="A8" t="str">
        <x:v>CA-004</x:v>
      </x:c>
      <x:c r="B8" t="str">
        <x:v>Limited stakeholder consultation</x:v>
      </x:c>
      <x:c r="C8" t="str">
        <x:v>Stakeholder Management</x:v>
      </x:c>
      <x:c r="D8" t="str">
        <x:v>Execute stakeholder consultation and feedback closure process</x:v>
      </x:c>
      <x:c r="E8" t="str">
        <x:v>SFPMS Process Owner</x:v>
      </x:c>
      <x:c r="F8" t="str">
        <x:v>High</x:v>
      </x:c>
      <x:c r="G8" s="50" t="n">
        <x:v>46228</x:v>
      </x:c>
      <x:c r="H8" s="50" t="n">
        <x:v>46254</x:v>
      </x:c>
      <x:c r="I8" t="str">
        <x:v>Planned</x:v>
      </x:c>
      <x:c r="J8" t="n">
        <x:v>20</x:v>
      </x:c>
      <x:c r="K8" t="str">
        <x:v>Consultation records</x:v>
      </x:c>
      <x:c r="L8" t="str">
        <x:v>Derived from document review</x:v>
      </x:c>
    </x:row>
    <x:row r="9">
      <x:c r="A9" t="str">
        <x:v>CA-005</x:v>
      </x:c>
      <x:c r="B9" t="str">
        <x:v>Skills and capacity constraints</x:v>
      </x:c>
      <x:c r="C9" t="str">
        <x:v>Resource Management Capability</x:v>
      </x:c>
      <x:c r="D9" t="str">
        <x:v>Deliver five-day SFPMS training and confirm resource plan</x:v>
      </x:c>
      <x:c r="E9" t="str">
        <x:v>SFPMS Process Owner</x:v>
      </x:c>
      <x:c r="F9" t="str">
        <x:v>High</x:v>
      </x:c>
      <x:c r="G9" s="50" t="n">
        <x:v>46235</x:v>
      </x:c>
      <x:c r="H9" s="50" t="n">
        <x:v>46265</x:v>
      </x:c>
      <x:c r="I9" t="str">
        <x:v>Planned</x:v>
      </x:c>
      <x:c r="J9" t="n">
        <x:v>10</x:v>
      </x:c>
      <x:c r="K9" t="str">
        <x:v>Attendance and assessment</x:v>
      </x:c>
      <x:c r="L9" t="str">
        <x:v>Derived from questionnaire barriers</x:v>
      </x:c>
    </x:row>
    <x:row r="10">
      <x:c r="A10" t="str">
        <x:v>CA-006</x:v>
      </x:c>
      <x:c r="B10" t="str">
        <x:v>Cash-balance inconsistency</x:v>
      </x:c>
      <x:c r="C10" t="str">
        <x:v>Financial Information Quality</x:v>
      </x:c>
      <x:c r="D10" t="str">
        <x:v>Resolve difference between balance sheet and cash-flow report</x:v>
      </x:c>
      <x:c r="E10" t="str">
        <x:v>Finance Manager</x:v>
      </x:c>
      <x:c r="F10" t="str">
        <x:v>Critical</x:v>
      </x:c>
      <x:c r="G10" s="50" t="n">
        <x:v>46221</x:v>
      </x:c>
      <x:c r="H10" s="50" t="n">
        <x:v>46228</x:v>
      </x:c>
      <x:c r="I10" t="str">
        <x:v>In Progress</x:v>
      </x:c>
      <x:c r="J10" t="n">
        <x:v>70</x:v>
      </x:c>
      <x:c r="K10" t="str">
        <x:v>Signed reconciliation</x:v>
      </x:c>
      <x:c r="L10" t="str">
        <x:v>Actual issue—pending reconciliation</x:v>
      </x:c>
    </x:row>
    <x:row r="11">
      <x:c r="A11" t="str">
        <x:v>CA-007</x:v>
      </x:c>
      <x:c r="B11" t="str">
        <x:v>Approval delays</x:v>
      </x:c>
      <x:c r="C11" t="str">
        <x:v>Financial Leadership Quality</x:v>
      </x:c>
      <x:c r="D11" t="str">
        <x:v>Configure gate deadlines and escalation alerts</x:v>
      </x:c>
      <x:c r="E11" t="str">
        <x:v>SFPMS Process Owner</x:v>
      </x:c>
      <x:c r="F11" t="str">
        <x:v>Medium</x:v>
      </x:c>
      <x:c r="G11" s="50" t="n">
        <x:v>46228</x:v>
      </x:c>
      <x:c r="H11" s="50" t="n">
        <x:v>46244</x:v>
      </x:c>
      <x:c r="I11" t="str">
        <x:v>Planned</x:v>
      </x:c>
      <x:c r="J11" t="n">
        <x:v>15</x:v>
      </x:c>
      <x:c r="K11" t="str">
        <x:v>Workflow configuration</x:v>
      </x:c>
      <x:c r="L11" t="str">
        <x:v>Simulated pilot action</x:v>
      </x:c>
    </x:row>
    <x:row r="12">
      <x:c r="A12" t="str">
        <x:v>CA-008</x:v>
      </x:c>
      <x:c r="B12" t="str">
        <x:v>Prototype data-loss risk</x:v>
      </x:c>
      <x:c r="C12" t="str">
        <x:v>Resource Management Capability</x:v>
      </x:c>
      <x:c r="D12" t="str">
        <x:v>Implement daily export and controlled backup procedure</x:v>
      </x:c>
      <x:c r="E12" t="str">
        <x:v>System Administrator</x:v>
      </x:c>
      <x:c r="F12" t="str">
        <x:v>High</x:v>
      </x:c>
      <x:c r="G12" s="50" t="n">
        <x:v>46223</x:v>
      </x:c>
      <x:c r="H12" s="50" t="n">
        <x:v>46234</x:v>
      </x:c>
      <x:c r="I12" t="str">
        <x:v>In Progress</x:v>
      </x:c>
      <x:c r="J12" t="n">
        <x:v>50</x:v>
      </x:c>
      <x:c r="K12" t="str">
        <x:v>Backup log</x:v>
      </x:c>
      <x:c r="L12" t="str">
        <x:v>Pilot technical action</x:v>
      </x:c>
    </x:row>
  </x:sheetData>
  <x:mergeCells>
    <x:mergeCell ref="A1:L1"/>
    <x:mergeCell ref="A2:L2"/>
  </x:mergeCells>
  <x:conditionalFormatting sqref="J5:J12">
    <x:cfRule type="dataBar" priority="1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{01A5A2A5-5388-801F-E753-35E013268E49}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d1d5159db54464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1A5A2A5-5388-801F-E753-35E013268E49}">
            <x14:dataBar gradient="1">
              <x14:cfvo type="min"/>
              <x14:cfvo type="max"/>
              <x14:fillColor rgb="FF16A34A"/>
            </x14:dataBar>
          </x14:cfRule>
          <xm:sqref>J5:J12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24" hidden="0" customWidth="1"/>
    <x:col min="7" max="7" width="14" hidden="0" customWidth="1"/>
    <x:col min="8" max="8" width="28" hidden="0" customWidth="1"/>
    <x:col min="9" max="9" width="22" hidden="0" customWidth="1"/>
    <x:col min="10" max="10" width="14" hidden="0" customWidth="1"/>
    <x:col min="11" max="11" width="24" hidden="0" customWidth="1"/>
  </x:cols>
  <x:sheetData>
    <x:row r="1" ht="28" customHeight="1">
      <x:c r="A1" s="5" t="str">
        <x:v>Post-Intervention Data Collection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2" customHeight="1">
      <x:c r="A2" s="12" t="str">
        <x:v>Leave blank until actual Action Research evidence is collected. Do not populate with simulated outcomes.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28" customHeight="1">
      <x:c r="A4" s="20" t="str">
        <x:v>Cycle</x:v>
      </x:c>
      <x:c r="B4" s="20" t="str">
        <x:v>Assessment Date</x:v>
      </x:c>
      <x:c r="C4" s="20" t="str">
        <x:v>Construct Code</x:v>
      </x:c>
      <x:c r="D4" s="20" t="str">
        <x:v>Full Construct Name</x:v>
      </x:c>
      <x:c r="E4" s="20" t="str">
        <x:v>Baseline Score</x:v>
      </x:c>
      <x:c r="F4" s="20" t="str">
        <x:v>Post-Intervention Score</x:v>
      </x:c>
      <x:c r="G4" s="20" t="str">
        <x:v>Absolute Change</x:v>
      </x:c>
      <x:c r="H4" s="20" t="str">
        <x:v>Percentage Change</x:v>
      </x:c>
      <x:c r="I4" s="20" t="str">
        <x:v>Sample Size</x:v>
      </x:c>
      <x:c r="J4" s="20" t="str">
        <x:v>Validated By</x:v>
      </x:c>
      <x:c r="K4" s="20" t="str">
        <x:v>Data Classification</x:v>
      </x:c>
    </x:row>
    <x:row r="5">
      <x:c r="A5" t="str">
        <x:v>Cycle 1</x:v>
      </x:c>
      <x:c r="B5" s="50"/>
      <x:c r="C5" t="str">
        <x:v>SFPE</x:v>
      </x:c>
      <x:c r="D5" t="str">
        <x:v>Strategic Financial Planning Effectiveness</x:v>
      </x:c>
      <x:c r="E5" s="36" t="n">
        <x:v>2.781</x:v>
      </x:c>
      <x:c r="F5" s="61"/>
      <x:c r="G5" s="36" t="str">
        <x:f>IF(F5="","",F5-E5)</x:f>
      </x:c>
      <x:c r="H5" s="40" t="str">
        <x:f>IF(OR(F5="",E5=0),"",G5/E5)</x:f>
      </x:c>
      <x:c r="I5"/>
      <x:c r="J5"/>
      <x:c r="K5" t="str">
        <x:v>Post-intervention actual</x:v>
      </x:c>
    </x:row>
    <x:row r="6">
      <x:c r="A6" t="str">
        <x:v>Cycle 1</x:v>
      </x:c>
      <x:c r="B6" s="50"/>
      <x:c r="C6" t="str">
        <x:v>FLQ</x:v>
      </x:c>
      <x:c r="D6" t="str">
        <x:v>Financial Leadership Quality</x:v>
      </x:c>
      <x:c r="E6" s="36" t="n">
        <x:v>2.7</x:v>
      </x:c>
      <x:c r="F6" s="61"/>
      <x:c r="G6" s="36" t="str">
        <x:f>IF(F6="","",F6-E6)</x:f>
      </x:c>
      <x:c r="H6" s="40" t="str">
        <x:f>IF(OR(F6="",E6=0),"",G6/E6)</x:f>
      </x:c>
      <x:c r="I6"/>
      <x:c r="J6"/>
      <x:c r="K6" t="str">
        <x:v>Post-intervention actual</x:v>
      </x:c>
    </x:row>
    <x:row r="7">
      <x:c r="A7" t="str">
        <x:v>Cycle 1</x:v>
      </x:c>
      <x:c r="B7" s="50"/>
      <x:c r="C7" t="str">
        <x:v>FIQ-Core</x:v>
      </x:c>
      <x:c r="D7" t="str">
        <x:v>Financial Information Quality—Core</x:v>
      </x:c>
      <x:c r="E7" s="36" t="n">
        <x:v>2.705</x:v>
      </x:c>
      <x:c r="F7" s="61"/>
      <x:c r="G7" s="36" t="str">
        <x:f>IF(F7="","",F7-E7)</x:f>
      </x:c>
      <x:c r="H7" s="40" t="str">
        <x:f>IF(OR(F7="",E7=0),"",G7/E7)</x:f>
      </x:c>
      <x:c r="I7"/>
      <x:c r="J7"/>
      <x:c r="K7" t="str">
        <x:v>Post-intervention actual</x:v>
      </x:c>
    </x:row>
    <x:row r="8">
      <x:c r="A8" t="str">
        <x:v>Cycle 1</x:v>
      </x:c>
      <x:c r="B8" s="50"/>
      <x:c r="C8" t="str">
        <x:v>FRM</x:v>
      </x:c>
      <x:c r="D8" t="str">
        <x:v>Financial Risk Management</x:v>
      </x:c>
      <x:c r="E8" s="36" t="n">
        <x:v>2.733</x:v>
      </x:c>
      <x:c r="F8" s="61"/>
      <x:c r="G8" s="36" t="str">
        <x:f>IF(F8="","",F8-E8)</x:f>
      </x:c>
      <x:c r="H8" s="40" t="str">
        <x:f>IF(OR(F8="",E8=0),"",G8/E8)</x:f>
      </x:c>
      <x:c r="I8"/>
      <x:c r="J8"/>
      <x:c r="K8" t="str">
        <x:v>Post-intervention actual</x:v>
      </x:c>
    </x:row>
    <x:row r="9">
      <x:c r="A9" t="str">
        <x:v>Cycle 1</x:v>
      </x:c>
      <x:c r="B9" s="50"/>
      <x:c r="C9" t="str">
        <x:v>SM</x:v>
      </x:c>
      <x:c r="D9" t="str">
        <x:v>Stakeholder Management</x:v>
      </x:c>
      <x:c r="E9" s="36" t="n">
        <x:v>2.67</x:v>
      </x:c>
      <x:c r="F9" s="61"/>
      <x:c r="G9" s="36" t="str">
        <x:f>IF(F9="","",F9-E9)</x:f>
      </x:c>
      <x:c r="H9" s="40" t="str">
        <x:f>IF(OR(F9="",E9=0),"",G9/E9)</x:f>
      </x:c>
      <x:c r="I9"/>
      <x:c r="J9"/>
      <x:c r="K9" t="str">
        <x:v>Post-intervention actual</x:v>
      </x:c>
    </x:row>
    <x:row r="10">
      <x:c r="A10" t="str">
        <x:v>Cycle 1</x:v>
      </x:c>
      <x:c r="B10" s="50"/>
      <x:c r="C10" t="str">
        <x:v>RMC</x:v>
      </x:c>
      <x:c r="D10" t="str">
        <x:v>Resource Management Capability</x:v>
      </x:c>
      <x:c r="E10" s="36" t="n">
        <x:v>2.742</x:v>
      </x:c>
      <x:c r="F10" s="61"/>
      <x:c r="G10" s="36" t="str">
        <x:f>IF(F10="","",F10-E10)</x:f>
      </x:c>
      <x:c r="H10" s="40" t="str">
        <x:f>IF(OR(F10="",E10=0),"",G10/E10)</x:f>
      </x:c>
      <x:c r="I10"/>
      <x:c r="J10"/>
      <x:c r="K10" t="str">
        <x:v>Post-intervention actual</x:v>
      </x:c>
    </x:row>
    <x:row r="12">
      <x:c r="A12" s="31" t="str">
        <x:v>Operational KPI</x:v>
      </x:c>
      <x:c r="B12" s="31" t="str">
        <x:v>Baseline</x:v>
      </x:c>
      <x:c r="C12" s="31" t="str">
        <x:v>Target</x:v>
      </x:c>
      <x:c r="D12" s="31" t="str">
        <x:v>Post-Intervention Actual</x:v>
      </x:c>
      <x:c r="E12" s="31" t="str">
        <x:v>Change</x:v>
      </x:c>
      <x:c r="F12" s="31" t="str">
        <x:v>Owner</x:v>
      </x:c>
      <x:c r="G12" s="31" t="str">
        <x:v>Frequency</x:v>
      </x:c>
      <x:c r="H12" s="31" t="str">
        <x:v>Evidence Source</x:v>
      </x:c>
      <x:c r="I12" s="31" t="str">
        <x:v>Validated By</x:v>
      </x:c>
      <x:c r="J12" s="31" t="str">
        <x:v>Status</x:v>
      </x:c>
      <x:c r="K12" s="31" t="str">
        <x:v>Data Classification</x:v>
      </x:c>
    </x:row>
    <x:row r="13">
      <x:c r="A13" t="str">
        <x:v>Forecast Accuracy</x:v>
      </x:c>
      <x:c r="B13" s="64"/>
      <x:c r="C13" s="64" t="n">
        <x:v>0.85</x:v>
      </x:c>
      <x:c r="D13" s="64"/>
      <x:c r="E13" s="64" t="str">
        <x:f>IF(OR(B13="",D13=""),"",D13-B13)</x:f>
      </x:c>
      <x:c r="F13" t="str">
        <x:v>Finance Manager</x:v>
      </x:c>
      <x:c r="G13" t="str">
        <x:v>Monthly</x:v>
      </x:c>
      <x:c r="H13" t="str">
        <x:v>Forecast vs actual report</x:v>
      </x:c>
      <x:c r="I13"/>
      <x:c r="J13" t="str">
        <x:v>Pending</x:v>
      </x:c>
      <x:c r="K13" t="str">
        <x:v>Post-intervention actual</x:v>
      </x:c>
    </x:row>
    <x:row r="14">
      <x:c r="A14" t="str">
        <x:v>Budget Variance</x:v>
      </x:c>
      <x:c r="B14" s="64"/>
      <x:c r="C14" s="64" t="n">
        <x:v>0.05</x:v>
      </x:c>
      <x:c r="D14" s="64"/>
      <x:c r="E14" s="64" t="str">
        <x:f>IF(OR(B14="",D14=""),"",D14-B14)</x:f>
      </x:c>
      <x:c r="F14" t="str">
        <x:v>Finance Manager</x:v>
      </x:c>
      <x:c r="G14" t="str">
        <x:v>Monthly</x:v>
      </x:c>
      <x:c r="H14" t="str">
        <x:v>Budget report</x:v>
      </x:c>
      <x:c r="I14"/>
      <x:c r="J14" t="str">
        <x:v>Pending</x:v>
      </x:c>
      <x:c r="K14" t="str">
        <x:v>Post-intervention actual</x:v>
      </x:c>
    </x:row>
    <x:row r="15">
      <x:c r="A15" t="str">
        <x:v>Decision Lead Time (days)</x:v>
      </x:c>
      <x:c r="B15" s="64"/>
      <x:c r="C15" s="64" t="n">
        <x:v>5</x:v>
      </x:c>
      <x:c r="D15" s="64"/>
      <x:c r="E15" s="64" t="str">
        <x:f>IF(OR(B15="",D15=""),"",D15-B15)</x:f>
      </x:c>
      <x:c r="F15" t="str">
        <x:v>SFPMS Process Owner</x:v>
      </x:c>
      <x:c r="G15" t="str">
        <x:v>Per gate</x:v>
      </x:c>
      <x:c r="H15" t="str">
        <x:v>Approval log</x:v>
      </x:c>
      <x:c r="I15"/>
      <x:c r="J15" t="str">
        <x:v>Pending</x:v>
      </x:c>
      <x:c r="K15" t="str">
        <x:v>Post-intervention actual</x:v>
      </x:c>
    </x:row>
    <x:row r="16">
      <x:c r="A16" t="str">
        <x:v>Risk Response Completion</x:v>
      </x:c>
      <x:c r="B16" s="64"/>
      <x:c r="C16" s="64" t="n">
        <x:v>0.9</x:v>
      </x:c>
      <x:c r="D16" s="64"/>
      <x:c r="E16" s="64" t="str">
        <x:f>IF(OR(B16="",D16=""),"",D16-B16)</x:f>
      </x:c>
      <x:c r="F16" t="str">
        <x:v>Risk/Internal Control Officer</x:v>
      </x:c>
      <x:c r="G16" t="str">
        <x:v>Monthly</x:v>
      </x:c>
      <x:c r="H16" t="str">
        <x:v>Risk register</x:v>
      </x:c>
      <x:c r="I16"/>
      <x:c r="J16" t="str">
        <x:v>Pending</x:v>
      </x:c>
      <x:c r="K16" t="str">
        <x:v>Post-intervention actual</x:v>
      </x:c>
    </x:row>
    <x:row r="17">
      <x:c r="A17" t="str">
        <x:v>Stakeholder Satisfaction</x:v>
      </x:c>
      <x:c r="B17" s="64"/>
      <x:c r="C17" s="64" t="n">
        <x:v>4</x:v>
      </x:c>
      <x:c r="D17" s="64"/>
      <x:c r="E17" s="64" t="str">
        <x:f>IF(OR(B17="",D17=""),"",D17-B17)</x:f>
      </x:c>
      <x:c r="F17" t="str">
        <x:v>SFPMS Process Owner</x:v>
      </x:c>
      <x:c r="G17" t="str">
        <x:v>Quarterly</x:v>
      </x:c>
      <x:c r="H17" t="str">
        <x:v>Stakeholder survey</x:v>
      </x:c>
      <x:c r="I17"/>
      <x:c r="J17" t="str">
        <x:v>Pending</x:v>
      </x:c>
      <x:c r="K17" t="str">
        <x:v>Post-intervention actual</x:v>
      </x:c>
    </x:row>
    <x:row r="18">
      <x:c r="A18" t="str">
        <x:v>Resource Utilization</x:v>
      </x:c>
      <x:c r="B18" s="64"/>
      <x:c r="C18" s="64" t="n">
        <x:v>0.85</x:v>
      </x:c>
      <x:c r="D18" s="64"/>
      <x:c r="E18" s="64" t="str">
        <x:f>IF(OR(B18="",D18=""),"",D18-B18)</x:f>
      </x:c>
      <x:c r="F18" t="str">
        <x:v>Department Manager</x:v>
      </x:c>
      <x:c r="G18" t="str">
        <x:v>Monthly</x:v>
      </x:c>
      <x:c r="H18" t="str">
        <x:v>Resource plan</x:v>
      </x:c>
      <x:c r="I18"/>
      <x:c r="J18" t="str">
        <x:v>Pending</x:v>
      </x:c>
      <x:c r="K18" t="str">
        <x:v>Post-intervention actual</x:v>
      </x:c>
    </x:row>
    <x:row r="19">
      <x:c r="A19" t="str">
        <x:v>Corrective Action Completion</x:v>
      </x:c>
      <x:c r="B19" s="64"/>
      <x:c r="C19" s="64" t="n">
        <x:v>0.9</x:v>
      </x:c>
      <x:c r="D19" s="64"/>
      <x:c r="E19" s="64" t="str">
        <x:f>IF(OR(B19="",D19=""),"",D19-B19)</x:f>
      </x:c>
      <x:c r="F19" t="str">
        <x:v>SFPMS Process Owner</x:v>
      </x:c>
      <x:c r="G19" t="str">
        <x:v>Monthly</x:v>
      </x:c>
      <x:c r="H19" t="str">
        <x:v>Action register</x:v>
      </x:c>
      <x:c r="I19"/>
      <x:c r="J19" t="str">
        <x:v>Pending</x:v>
      </x:c>
      <x:c r="K19" t="str">
        <x:v>Post-intervention actual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fcbed42479c47f4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2" hidden="0" customWidth="1"/>
    <x:col min="4" max="4" width="20" hidden="0" customWidth="1"/>
    <x:col min="5" max="5" width="38" hidden="0" customWidth="1"/>
    <x:col min="6" max="6" width="24" hidden="0" customWidth="1"/>
    <x:col min="7" max="7" width="24" hidden="0" customWidth="1"/>
    <x:col min="8" max="8" width="36" hidden="0" customWidth="1"/>
  </x:cols>
  <x:sheetData>
    <x:row r="1" ht="28" customHeight="1">
      <x:c r="A1" s="5" t="str">
        <x:v>SFPMS App Import Map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2" t="str">
        <x:v>Maps workbook sheets to current Streamlit/SQLite tables and required extensions.</x:v>
      </x:c>
      <x:c r="B2" s="12"/>
      <x:c r="C2" s="12"/>
      <x:c r="D2" s="12"/>
      <x:c r="E2" s="12"/>
      <x:c r="F2" s="12"/>
      <x:c r="G2" s="12"/>
      <x:c r="H2" s="12"/>
    </x:row>
    <x:row r="4" ht="28" customHeight="1">
      <x:c r="A4" s="20" t="str">
        <x:v>Workbook Sheet</x:v>
      </x:c>
      <x:c r="B4" s="20" t="str">
        <x:v>App/Database Table</x:v>
      </x:c>
      <x:c r="C4" s="20" t="str">
        <x:v>Primary Use</x:v>
      </x:c>
      <x:c r="D4" s="20" t="str">
        <x:v>Directly Importable?</x:v>
      </x:c>
      <x:c r="E4" s="20" t="str">
        <x:v>Required Transformation</x:v>
      </x:c>
      <x:c r="F4" s="20" t="str">
        <x:v>Pilot Owner</x:v>
      </x:c>
      <x:c r="G4" s="20" t="str">
        <x:v>Data Classification</x:v>
      </x:c>
      <x:c r="H4" s="20" t="str">
        <x:v>Notes</x:v>
      </x:c>
    </x:row>
    <x:row r="5">
      <x:c r="A5" t="str">
        <x:v>01_Research_Baseline</x:v>
      </x:c>
      <x:c r="B5" t="str">
        <x:v>assessments</x:v>
      </x:c>
      <x:c r="C5" t="str">
        <x:v>Baseline and evaluation dashboard</x:v>
      </x:c>
      <x:c r="D5" t="str">
        <x:v>Yes</x:v>
      </x:c>
      <x:c r="E5" t="str">
        <x:v>Map code and score</x:v>
      </x:c>
      <x:c r="F5" t="str">
        <x:v>Researcher</x:v>
      </x:c>
      <x:c r="G5" t="str">
        <x:v>Research baseline</x:v>
      </x:c>
      <x:c r="H5" t="str">
        <x:v>cycle_label = Baseline</x:v>
      </x:c>
    </x:row>
    <x:row r="6">
      <x:c r="A6" t="str">
        <x:v>03_Strategic_Objectives</x:v>
      </x:c>
      <x:c r="B6" t="str">
        <x:v>New table: strategic_objectives</x:v>
      </x:c>
      <x:c r="C6" t="str">
        <x:v>Executive strategic alignment</x:v>
      </x:c>
      <x:c r="D6" t="str">
        <x:v>No</x:v>
      </x:c>
      <x:c r="E6" t="str">
        <x:v>Add table and page</x:v>
      </x:c>
      <x:c r="F6" t="str">
        <x:v>SFPMS Process Owner</x:v>
      </x:c>
      <x:c r="G6" t="str">
        <x:v>Simulated pilot data</x:v>
      </x:c>
      <x:c r="H6" t="str">
        <x:v>Recommended enhancement</x:v>
      </x:c>
    </x:row>
    <x:row r="7">
      <x:c r="A7" t="str">
        <x:v>04_Scenario_Assumptions</x:v>
      </x:c>
      <x:c r="B7" t="str">
        <x:v>SCENARIOS / future scenario table</x:v>
      </x:c>
      <x:c r="C7" t="str">
        <x:v>Dynamic scenario toggle</x:v>
      </x:c>
      <x:c r="D7" t="str">
        <x:v>Partly</x:v>
      </x:c>
      <x:c r="E7" t="str">
        <x:v>Replace hardcoded dictionary</x:v>
      </x:c>
      <x:c r="F7" t="str">
        <x:v>Finance Manager</x:v>
      </x:c>
      <x:c r="G7" t="str">
        <x:v>Scenario assumption</x:v>
      </x:c>
      <x:c r="H7" t="str">
        <x:v>Recommended enhancement</x:v>
      </x:c>
    </x:row>
    <x:row r="8">
      <x:c r="A8" t="str">
        <x:v>05_Monthly_Budget</x:v>
      </x:c>
      <x:c r="B8" t="str">
        <x:v>budgets</x:v>
      </x:c>
      <x:c r="C8" t="str">
        <x:v>Financial and department dashboards</x:v>
      </x:c>
      <x:c r="D8" t="str">
        <x:v>Yes, aggregated</x:v>
      </x:c>
      <x:c r="E8" t="str">
        <x:v>Aggregate or extend by month</x:v>
      </x:c>
      <x:c r="F8" t="str">
        <x:v>Finance Manager</x:v>
      </x:c>
      <x:c r="G8" t="str">
        <x:v>Simulated pilot data</x:v>
      </x:c>
      <x:c r="H8" t="str">
        <x:v>Current app table is annual</x:v>
      </x:c>
    </x:row>
    <x:row r="9">
      <x:c r="A9" t="str">
        <x:v>06_Cash_Flow_Forecast</x:v>
      </x:c>
      <x:c r="B9" t="str">
        <x:v>New table: cash_flow</x:v>
      </x:c>
      <x:c r="C9" t="str">
        <x:v>Cash dashboard and alerts</x:v>
      </x:c>
      <x:c r="D9" t="str">
        <x:v>No</x:v>
      </x:c>
      <x:c r="E9" t="str">
        <x:v>Add table and page</x:v>
      </x:c>
      <x:c r="F9" t="str">
        <x:v>Finance Manager</x:v>
      </x:c>
      <x:c r="G9" t="str">
        <x:v>Forecast</x:v>
      </x:c>
      <x:c r="H9" t="str">
        <x:v>Recommended enhancement</x:v>
      </x:c>
    </x:row>
    <x:row r="10">
      <x:c r="A10" t="str">
        <x:v>07_Risk_Register</x:v>
      </x:c>
      <x:c r="B10" t="str">
        <x:v>risks</x:v>
      </x:c>
      <x:c r="C10" t="str">
        <x:v>Risk dashboard</x:v>
      </x:c>
      <x:c r="D10" t="str">
        <x:v>Yes</x:v>
      </x:c>
      <x:c r="E10" t="str">
        <x:v>Map core fields</x:v>
      </x:c>
      <x:c r="F10" t="str">
        <x:v>Risk/Internal Control Officer</x:v>
      </x:c>
      <x:c r="G10" t="str">
        <x:v>Mixed</x:v>
      </x:c>
      <x:c r="H10" t="str">
        <x:v>Extend residual-risk fields if needed</x:v>
      </x:c>
    </x:row>
    <x:row r="11">
      <x:c r="A11" t="str">
        <x:v>08_Stakeholders</x:v>
      </x:c>
      <x:c r="B11" t="str">
        <x:v>stakeholders</x:v>
      </x:c>
      <x:c r="C11" t="str">
        <x:v>Stakeholder dashboard</x:v>
      </x:c>
      <x:c r="D11" t="str">
        <x:v>Yes, core fields</x:v>
      </x:c>
      <x:c r="E11" t="str">
        <x:v>Map group/name and status</x:v>
      </x:c>
      <x:c r="F11" t="str">
        <x:v>SFPMS Process Owner</x:v>
      </x:c>
      <x:c r="G11" t="str">
        <x:v>Simulated pilot data</x:v>
      </x:c>
      <x:c r="H11" t="str">
        <x:v>Current app has fewer fields</x:v>
      </x:c>
    </x:row>
    <x:row r="12">
      <x:c r="A12" t="str">
        <x:v>09_Resources</x:v>
      </x:c>
      <x:c r="B12" t="str">
        <x:v>resources</x:v>
      </x:c>
      <x:c r="C12" t="str">
        <x:v>Resource dashboard</x:v>
      </x:c>
      <x:c r="D12" t="str">
        <x:v>Yes, Main Scenario</x:v>
      </x:c>
      <x:c r="E12" t="str">
        <x:v>Use Required—Main</x:v>
      </x:c>
      <x:c r="F12" t="str">
        <x:v>Department Managers</x:v>
      </x:c>
      <x:c r="G12" t="str">
        <x:v>Simulated pilot data</x:v>
      </x:c>
      <x:c r="H12" t="str">
        <x:v>Current app has fewer scenario fields</x:v>
      </x:c>
    </x:row>
    <x:row r="13">
      <x:c r="A13" t="str">
        <x:v>10_Workflow_Gates</x:v>
      </x:c>
      <x:c r="B13" t="str">
        <x:v>approvals and tasks</x:v>
      </x:c>
      <x:c r="C13" t="str">
        <x:v>Planning and decisions</x:v>
      </x:c>
      <x:c r="D13" t="str">
        <x:v>Yes, split</x:v>
      </x:c>
      <x:c r="E13" t="str">
        <x:v>Split tasks and gates</x:v>
      </x:c>
      <x:c r="F13" t="str">
        <x:v>SFPMS Process Owner</x:v>
      </x:c>
      <x:c r="G13" t="str">
        <x:v>Simulated pilot data</x:v>
      </x:c>
      <x:c r="H13" t="str">
        <x:v>Preserve evidence completion</x:v>
      </x:c>
    </x:row>
    <x:row r="14">
      <x:c r="A14" t="str">
        <x:v>11_Corrective_Actions</x:v>
      </x:c>
      <x:c r="B14" t="str">
        <x:v>New table: corrective_actions</x:v>
      </x:c>
      <x:c r="C14" t="str">
        <x:v>Monitoring and learning</x:v>
      </x:c>
      <x:c r="D14" t="str">
        <x:v>No</x:v>
      </x:c>
      <x:c r="E14" t="str">
        <x:v>Add table and page</x:v>
      </x:c>
      <x:c r="F14" t="str">
        <x:v>SFPMS Process Owner</x:v>
      </x:c>
      <x:c r="G14" t="str">
        <x:v>Mixed</x:v>
      </x:c>
      <x:c r="H14" t="str">
        <x:v>Recommended enhancement</x:v>
      </x:c>
    </x:row>
    <x:row r="15">
      <x:c r="A15" t="str">
        <x:v>12_Post_Intervention</x:v>
      </x:c>
      <x:c r="B15" t="str">
        <x:v>assessments</x:v>
      </x:c>
      <x:c r="C15" t="str">
        <x:v>Evaluation dashboard</x:v>
      </x:c>
      <x:c r="D15" t="str">
        <x:v>Yes when collected</x:v>
      </x:c>
      <x:c r="E15" t="str">
        <x:v>Import scores by cycle</x:v>
      </x:c>
      <x:c r="F15" t="str">
        <x:v>Researcher</x:v>
      </x:c>
      <x:c r="G15" t="str">
        <x:v>Post-intervention actual</x:v>
      </x:c>
      <x:c r="H15" t="str">
        <x:v>Currently blank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0ca253744224b0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4" hidden="0" customWidth="1"/>
    <x:col min="4" max="4" width="16" hidden="0" customWidth="1"/>
  </x:cols>
  <x:sheetData>
    <x:row r="1" ht="28" customHeight="1">
      <x:c r="A1" s="5" t="str">
        <x:v>BIH Solutions SFPMS Pilot Data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2" t="str">
        <x:v>Summary of generated pilot data. Simulated or pending-reconciliation figures are not validated outcomes.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31" t="str">
        <x:v>Pilot KPI Summary</x:v>
      </x:c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</x:row>
    <x:row r="5">
      <x:c r="A5" t="str">
        <x:v>Research baseline SFPE</x:v>
      </x:c>
      <x:c r="B5" s="36" t="n">
        <x:v>2.781</x:v>
      </x:c>
      <x:c r="C5" t="str">
        <x:v>Research baseline</x:v>
      </x:c>
    </x:row>
    <x:row r="6">
      <x:c r="A6" t="str">
        <x:v>2024 Revenue (XAF)</x:v>
      </x:c>
      <x:c r="B6" s="38" t="n">
        <x:v>4000000</x:v>
      </x:c>
      <x:c r="C6" t="str">
        <x:v>Actual—pending reconciliation</x:v>
      </x:c>
    </x:row>
    <x:row r="7">
      <x:c r="A7" t="str">
        <x:v>2024 Net Profit (XAF)</x:v>
      </x:c>
      <x:c r="B7" s="38" t="n">
        <x:v>1000000</x:v>
      </x:c>
      <x:c r="C7" t="str">
        <x:v>Actual—pending reconciliation</x:v>
      </x:c>
    </x:row>
    <x:row r="8">
      <x:c r="A8" t="str">
        <x:v>Main Scenario Revenue (XAF)</x:v>
      </x:c>
      <x:c r="B8" s="38" t="n">
        <x:v>4200000</x:v>
      </x:c>
      <x:c r="C8" t="str">
        <x:v>Scenario assumption</x:v>
      </x:c>
    </x:row>
    <x:row r="9">
      <x:c r="A9" t="str">
        <x:v>Main Scenario Closing Cash (XAF)</x:v>
      </x:c>
      <x:c r="B9" s="38" t="n">
        <x:v>1200000</x:v>
      </x:c>
      <x:c r="C9" t="str">
        <x:v>Scenario assumption</x:v>
      </x:c>
    </x:row>
    <x:row r="10">
      <x:c r="A10" t="str">
        <x:v>Open Risks</x:v>
      </x:c>
      <x:c r="B10" t="n">
        <x:v>10</x:v>
      </x:c>
      <x:c r="C10" t="str">
        <x:v>Simulated pilot data</x:v>
      </x:c>
    </x:row>
    <x:row r="12" ht="28" customHeight="1">
      <x:c r="A12" s="20" t="str">
        <x:v>Construct</x:v>
      </x:c>
      <x:c r="B12" s="20" t="str">
        <x:v>Baseline Score</x:v>
      </x:c>
      <x:c r="C12" s="20" t="str">
        <x:v>Scale Midpoint</x:v>
      </x:c>
    </x:row>
    <x:row r="13">
      <x:c r="A13" t="str">
        <x:v>Strategic Financial Planning Effectiveness</x:v>
      </x:c>
      <x:c r="B13" s="36" t="n">
        <x:v>2.781</x:v>
      </x:c>
      <x:c r="C13" s="36" t="n">
        <x:v>3</x:v>
      </x:c>
    </x:row>
    <x:row r="14">
      <x:c r="A14" t="str">
        <x:v>Financial Leadership Quality</x:v>
      </x:c>
      <x:c r="B14" s="36" t="n">
        <x:v>2.7</x:v>
      </x:c>
      <x:c r="C14" s="36" t="n">
        <x:v>3</x:v>
      </x:c>
    </x:row>
    <x:row r="15">
      <x:c r="A15" t="str">
        <x:v>Financial Information Quality—Core</x:v>
      </x:c>
      <x:c r="B15" s="36" t="n">
        <x:v>2.705</x:v>
      </x:c>
      <x:c r="C15" s="36" t="n">
        <x:v>3</x:v>
      </x:c>
    </x:row>
    <x:row r="16">
      <x:c r="A16" t="str">
        <x:v>Financial Risk Management</x:v>
      </x:c>
      <x:c r="B16" s="36" t="n">
        <x:v>2.733</x:v>
      </x:c>
      <x:c r="C16" s="36" t="n">
        <x:v>3</x:v>
      </x:c>
    </x:row>
    <x:row r="17">
      <x:c r="A17" t="str">
        <x:v>Stakeholder Management</x:v>
      </x:c>
      <x:c r="B17" s="36" t="n">
        <x:v>2.67</x:v>
      </x:c>
      <x:c r="C17" s="36" t="n">
        <x:v>3</x:v>
      </x:c>
    </x:row>
    <x:row r="18">
      <x:c r="A18" t="str">
        <x:v>Resource Management Capability</x:v>
      </x:c>
      <x:c r="B18" s="36" t="n">
        <x:v>2.742</x:v>
      </x:c>
      <x:c r="C18" s="36" t="n">
        <x:v>3</x:v>
      </x:c>
    </x:row>
    <x:row r="20" ht="28" customHeight="1">
      <x:c r="A20" s="20" t="str">
        <x:v>Scenario</x:v>
      </x:c>
      <x:c r="B20" s="20" t="str">
        <x:v>Revenue (XAF)</x:v>
      </x:c>
      <x:c r="C20" s="20" t="str">
        <x:v>Closing Cash (XAF)</x:v>
      </x:c>
      <x:c r="D20" s="20" t="str">
        <x:v>Risk Exposure</x:v>
      </x:c>
    </x:row>
    <x:row r="21">
      <x:c r="A21" t="str">
        <x:v>Optimistic Scenario</x:v>
      </x:c>
      <x:c r="B21" s="38" t="n">
        <x:v>4800000</x:v>
      </x:c>
      <x:c r="C21" s="38" t="n">
        <x:v>1700000</x:v>
      </x:c>
      <x:c r="D21" t="n">
        <x:v>7</x:v>
      </x:c>
    </x:row>
    <x:row r="22">
      <x:c r="A22" t="str">
        <x:v>Main Scenario</x:v>
      </x:c>
      <x:c r="B22" s="38" t="n">
        <x:v>4200000</x:v>
      </x:c>
      <x:c r="C22" s="38" t="n">
        <x:v>1200000</x:v>
      </x:c>
      <x:c r="D22" t="n">
        <x:v>11</x:v>
      </x:c>
    </x:row>
    <x:row r="23">
      <x:c r="A23" t="str">
        <x:v>Pessimistic Scenario</x:v>
      </x:c>
      <x:c r="B23" s="38" t="n">
        <x:v>3400000</x:v>
      </x:c>
      <x:c r="C23" s="38" t="n">
        <x:v>500000</x:v>
      </x:c>
      <x:c r="D23" t="n">
        <x:v>17</x:v>
      </x:c>
    </x:row>
  </x:sheetData>
  <x:mergeCells>
    <x:mergeCell ref="A1:N1"/>
    <x:mergeCell ref="A2:N2"/>
    <x:mergeCell ref="A4:N4"/>
  </x:mergeCells>
  <x:pageMargins left="0.7" right="0.7" top="0.75" bottom="0.75" header="0.3" footer="0.3"/>
  <x:drawing xmlns:r="http://schemas.openxmlformats.org/officeDocument/2006/relationships" r:id="R3b9a5985d54a4863"/>
</x:worksheet>
</file>